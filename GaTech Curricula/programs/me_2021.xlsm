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tvault-my.sharepoint.com/personal/kl127_gatech_edu/Documents/Documents/Curriculum/ME/"/>
    </mc:Choice>
  </mc:AlternateContent>
  <xr:revisionPtr revIDLastSave="1" documentId="8_{306011CF-1419-43BD-ABD5-2E4C2290414F}" xr6:coauthVersionLast="45" xr6:coauthVersionMax="45" xr10:uidLastSave="{E9D94E95-934A-4489-8A82-2490D1B949FD}"/>
  <bookViews>
    <workbookView xWindow="4152" yWindow="780" windowWidth="15072" windowHeight="8592" xr2:uid="{00000000-000D-0000-FFFF-FFFF00000000}"/>
  </bookViews>
  <sheets>
    <sheet name="ProgramOfStudy" sheetId="1" r:id="rId1"/>
    <sheet name="Temp" sheetId="4" state="hidden" r:id="rId2"/>
    <sheet name="Temp2" sheetId="61" state="hidden" r:id="rId3"/>
  </sheets>
  <definedNames>
    <definedName name="_xlnm._FilterDatabase" localSheetId="2" hidden="1">Temp2!$A$1:$L$1</definedName>
    <definedName name="_xlnm.Print_Area" localSheetId="0">ProgramOfStudy!$A$1:$U$122</definedName>
    <definedName name="Schedul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7" i="61" l="1"/>
  <c r="B56" i="61"/>
  <c r="B42" i="61"/>
  <c r="B43" i="61" s="1"/>
  <c r="B44" i="61" s="1"/>
  <c r="B45" i="61" s="1"/>
  <c r="B46" i="61" s="1"/>
  <c r="B47" i="61" s="1"/>
  <c r="B48" i="61" s="1"/>
  <c r="B49" i="61" s="1"/>
  <c r="B50" i="61" s="1"/>
  <c r="B51" i="61" s="1"/>
  <c r="B52" i="61" s="1"/>
  <c r="B53" i="61" s="1"/>
  <c r="B54" i="61" s="1"/>
  <c r="B55" i="61" s="1"/>
  <c r="B41" i="61"/>
  <c r="H34" i="1" l="1"/>
  <c r="H25" i="1"/>
  <c r="K70" i="1" l="1"/>
  <c r="N70" i="1"/>
  <c r="Q70" i="1"/>
  <c r="T70" i="1"/>
  <c r="N61" i="1"/>
  <c r="Q61" i="1"/>
  <c r="Q34" i="1"/>
  <c r="T51" i="1"/>
  <c r="T43" i="1"/>
</calcChain>
</file>

<file path=xl/sharedStrings.xml><?xml version="1.0" encoding="utf-8"?>
<sst xmlns="http://schemas.openxmlformats.org/spreadsheetml/2006/main" count="781" uniqueCount="282">
  <si>
    <t>Fall</t>
  </si>
  <si>
    <t>CHEM 1310</t>
  </si>
  <si>
    <t>ENGL 1101</t>
  </si>
  <si>
    <t>Wellness</t>
  </si>
  <si>
    <t>English Composition 1</t>
  </si>
  <si>
    <t>(Minimum Grade C)</t>
  </si>
  <si>
    <t>= 16 hours</t>
  </si>
  <si>
    <t>Spring</t>
  </si>
  <si>
    <t>PHYS 2211</t>
  </si>
  <si>
    <t>CS 1371</t>
  </si>
  <si>
    <t>ENGL 1102</t>
  </si>
  <si>
    <t>Physics 1</t>
  </si>
  <si>
    <t>English Composition 2</t>
  </si>
  <si>
    <t>PHYS 2212</t>
  </si>
  <si>
    <t>MSE 2001</t>
  </si>
  <si>
    <t>COE 2001</t>
  </si>
  <si>
    <t>Physics 2</t>
  </si>
  <si>
    <t>Engineering
Materials</t>
  </si>
  <si>
    <t>Statics</t>
  </si>
  <si>
    <t>ECE 3710</t>
  </si>
  <si>
    <t>Circuits &amp;
Electronics</t>
  </si>
  <si>
    <t>Differential
Equations</t>
  </si>
  <si>
    <t>= 15 hours</t>
  </si>
  <si>
    <t>COE 3001</t>
  </si>
  <si>
    <t>ME 3322</t>
  </si>
  <si>
    <t>ME 3340</t>
  </si>
  <si>
    <t>Instrument &amp;
Electronics Lab</t>
  </si>
  <si>
    <t>Mechanics of Deformable Bodies</t>
  </si>
  <si>
    <t>ME 3345</t>
  </si>
  <si>
    <t>ISYE 3025</t>
  </si>
  <si>
    <t>Heat Transfer</t>
  </si>
  <si>
    <t>Engineering Economics</t>
  </si>
  <si>
    <t>Ethics</t>
  </si>
  <si>
    <t>1.</t>
  </si>
  <si>
    <t>2.</t>
  </si>
  <si>
    <t>3.</t>
  </si>
  <si>
    <t>4.</t>
  </si>
  <si>
    <t>ECE 3741</t>
  </si>
  <si>
    <t>Thermo-
dynamics</t>
  </si>
  <si>
    <t>General
Chemistry</t>
  </si>
  <si>
    <t>ME 2016</t>
  </si>
  <si>
    <t>ME 2202</t>
  </si>
  <si>
    <t>Dynamics of
Rigid Bodies</t>
  </si>
  <si>
    <t>ME 2110</t>
  </si>
  <si>
    <t>Fluid
Mechanics</t>
  </si>
  <si>
    <t>Design Elective</t>
  </si>
  <si>
    <t>ME 3057</t>
  </si>
  <si>
    <t>Experimental Methods Lab</t>
  </si>
  <si>
    <t>ME Elective</t>
  </si>
  <si>
    <t>Free Elective</t>
  </si>
  <si>
    <t>2000 Level or Above</t>
  </si>
  <si>
    <t>ME Systems 
Lab</t>
  </si>
  <si>
    <t>Capstone Design</t>
  </si>
  <si>
    <t>Upon completion of these classes, you will have a 
minimum of (…) semesters remaining until graduation.</t>
  </si>
  <si>
    <t>= 17 hours</t>
  </si>
  <si>
    <t>Machine Design (ME 3180)
for the Design Elective</t>
  </si>
  <si>
    <t>Understanding the Curriculum Guide</t>
  </si>
  <si>
    <t>Minimum #
of Semesters</t>
  </si>
  <si>
    <t>Energy Systems Design (ME 4315)
for the Design Elective</t>
  </si>
  <si>
    <t>Pre-Requisites</t>
  </si>
  <si>
    <t>ME Electives</t>
  </si>
  <si>
    <t>Creative Decisions
and Design</t>
  </si>
  <si>
    <t>Computing Techniques</t>
  </si>
  <si>
    <t>3000 Level or Above ME Class</t>
  </si>
  <si>
    <r>
      <t>3-3-</t>
    </r>
    <r>
      <rPr>
        <b/>
        <sz val="10"/>
        <rFont val="Arial"/>
        <family val="2"/>
      </rPr>
      <t>4</t>
    </r>
  </si>
  <si>
    <r>
      <t>4-0-</t>
    </r>
    <r>
      <rPr>
        <b/>
        <sz val="10"/>
        <rFont val="Arial"/>
        <family val="2"/>
      </rPr>
      <t>4</t>
    </r>
  </si>
  <si>
    <r>
      <t>3-0-</t>
    </r>
    <r>
      <rPr>
        <b/>
        <sz val="10"/>
        <rFont val="Arial"/>
        <family val="2"/>
      </rPr>
      <t>3</t>
    </r>
  </si>
  <si>
    <r>
      <t>2-0-</t>
    </r>
    <r>
      <rPr>
        <b/>
        <sz val="10"/>
        <rFont val="Arial"/>
        <family val="2"/>
      </rPr>
      <t>2</t>
    </r>
  </si>
  <si>
    <r>
      <t>2-3-</t>
    </r>
    <r>
      <rPr>
        <b/>
        <sz val="10"/>
        <rFont val="Arial"/>
        <family val="2"/>
      </rPr>
      <t>3</t>
    </r>
  </si>
  <si>
    <r>
      <t>0-3-</t>
    </r>
    <r>
      <rPr>
        <b/>
        <sz val="10"/>
        <rFont val="Arial"/>
        <family val="2"/>
      </rPr>
      <t>1</t>
    </r>
  </si>
  <si>
    <r>
      <t>1-0-</t>
    </r>
    <r>
      <rPr>
        <b/>
        <sz val="10"/>
        <rFont val="Arial"/>
        <family val="2"/>
      </rPr>
      <t>1</t>
    </r>
  </si>
  <si>
    <t>Students can select either ME 3180 or ME 4315 for the design elective. More students select ME 3180.</t>
  </si>
  <si>
    <r>
      <rPr>
        <sz val="8"/>
        <rFont val="Arial"/>
        <family val="2"/>
      </rPr>
      <t>ME 3180 or ME 4315</t>
    </r>
    <r>
      <rPr>
        <sz val="7"/>
        <rFont val="Arial"/>
        <family val="2"/>
      </rPr>
      <t xml:space="preserve">
3180: Machine Design
4315: Energy Sys Design</t>
    </r>
  </si>
  <si>
    <t>1000 Level or Above</t>
  </si>
  <si>
    <t>Free Electives</t>
  </si>
  <si>
    <t>129 Total Hours</t>
  </si>
  <si>
    <t>ME 3017</t>
  </si>
  <si>
    <t>ME 4056</t>
  </si>
  <si>
    <t>= 18 hours</t>
  </si>
  <si>
    <t>Humanities Elective</t>
  </si>
  <si>
    <t>GPA &amp; Grade Requirements</t>
  </si>
  <si>
    <t xml:space="preserve">Major GPA: </t>
  </si>
  <si>
    <t>-</t>
  </si>
  <si>
    <t>Required Grades:</t>
  </si>
  <si>
    <t>All classes taken for the BSME degree must be taken 
LETTER GRADE. This includes all electives.</t>
  </si>
  <si>
    <t>(See Note 2)</t>
  </si>
  <si>
    <t>(See Note 3, No W's)</t>
  </si>
  <si>
    <t>If a pre-requisite for an ME class requires a C or better, the C is required before taking the next class. Ex: A grade of C or better is required in COE 2001 before taking ME 2202.</t>
  </si>
  <si>
    <r>
      <t xml:space="preserve">*Co-requisites: </t>
    </r>
    <r>
      <rPr>
        <sz val="9"/>
        <rFont val="Arial"/>
        <family val="2"/>
      </rPr>
      <t>These classes can be taken at the same time or before the class. You must register for the co-req first to avoid registration errors.</t>
    </r>
  </si>
  <si>
    <t>Minimum grade of a D or better is required except as noted.</t>
  </si>
  <si>
    <t>System  Dynamics</t>
  </si>
  <si>
    <t>Must be 2.00 or above (truncated) at graduation.</t>
  </si>
  <si>
    <r>
      <rPr>
        <b/>
        <sz val="9"/>
        <rFont val="Arial"/>
        <family val="2"/>
      </rPr>
      <t>Overall GPA</t>
    </r>
    <r>
      <rPr>
        <sz val="9"/>
        <rFont val="Arial"/>
        <family val="2"/>
      </rPr>
      <t>: Must be 2.00 or above (truncated) at graduation.</t>
    </r>
  </si>
  <si>
    <t xml:space="preserve">Among the courses used to compute this, all courses must be completed with a C-or-better with the exception up to 9 credit hours, that can be satisfied with a grade of D. </t>
  </si>
  <si>
    <t>Undergraduate Curriculum Sheet Explanation - Page 2</t>
  </si>
  <si>
    <t>Social Science Elective</t>
  </si>
  <si>
    <t>Classes used to calculate it are all ME and COE classes required by name and number plus MSE 2001, ECE 3710, ECE 3741, ISYE 3025, Design Elective and ME Elective.</t>
  </si>
  <si>
    <t>ME 3210</t>
  </si>
  <si>
    <t>ME 2110, ME 3322, ME 3340, ME 2016
     ECE 3710, COE 3001, MSE 2001</t>
  </si>
  <si>
    <t>COE 3001, ME 2110, ME 3345, ME 2016,
     ECE 3710, MSE 2001</t>
  </si>
  <si>
    <t>Free electives may not duplicate any material taken in other classes used for your BSME degree.</t>
  </si>
  <si>
    <t>Design, Materials &amp; Manufacture</t>
  </si>
  <si>
    <r>
      <rPr>
        <b/>
        <sz val="9"/>
        <rFont val="Arial"/>
        <family val="2"/>
      </rPr>
      <t>Pre-requisites:</t>
    </r>
    <r>
      <rPr>
        <sz val="9"/>
        <rFont val="Arial"/>
        <family val="2"/>
      </rPr>
      <t xml:space="preserve"> These classes must be 
completed before you can take the class.</t>
    </r>
  </si>
  <si>
    <r>
      <t>ME 2110,
ME 3345</t>
    </r>
    <r>
      <rPr>
        <sz val="5.5"/>
        <rFont val="Arial"/>
        <family val="2"/>
      </rPr>
      <t xml:space="preserve"> (for ME 4315 only),</t>
    </r>
    <r>
      <rPr>
        <sz val="6"/>
        <rFont val="Arial"/>
        <family val="2"/>
      </rPr>
      <t xml:space="preserve">
COE 3001</t>
    </r>
    <r>
      <rPr>
        <sz val="5.5"/>
        <rFont val="Arial"/>
        <family val="2"/>
      </rPr>
      <t xml:space="preserve"> (for ME 3180 only)</t>
    </r>
  </si>
  <si>
    <t>ME electives cannot duplicate any material taken in other classes used for your BSME degree.</t>
  </si>
  <si>
    <t>MATH 3670</t>
  </si>
  <si>
    <t>Statistics &amp; Applications</t>
  </si>
  <si>
    <t>COE 3001, ME 3340,
ME 3017*, ME 3345*,
MATH 3670*</t>
  </si>
  <si>
    <r>
      <rPr>
        <b/>
        <sz val="11"/>
        <color rgb="FFFF0000"/>
        <rFont val="Arial"/>
        <family val="2"/>
      </rPr>
      <t>ME 3180</t>
    </r>
    <r>
      <rPr>
        <b/>
        <sz val="11"/>
        <rFont val="Arial"/>
        <family val="2"/>
      </rPr>
      <t>, ME 3057, ME 3345, ME 3017
     ME 3210,  MATH 3670</t>
    </r>
  </si>
  <si>
    <r>
      <rPr>
        <b/>
        <sz val="11"/>
        <color rgb="FFFF0000"/>
        <rFont val="Arial"/>
        <family val="2"/>
      </rPr>
      <t>ME 4315</t>
    </r>
    <r>
      <rPr>
        <b/>
        <sz val="11"/>
        <rFont val="Arial"/>
        <family val="2"/>
      </rPr>
      <t>, ME 3017, ME 3057, ME 3210,
     MATH 3670</t>
    </r>
  </si>
  <si>
    <t>APPH 1040 or APPH 1050</t>
  </si>
  <si>
    <t>MATH 1551</t>
  </si>
  <si>
    <t>Differential Calculus</t>
  </si>
  <si>
    <t>Linear Algebra</t>
  </si>
  <si>
    <t>MATH 1552</t>
  </si>
  <si>
    <t>Integral Calculus</t>
  </si>
  <si>
    <t>MATH 2551</t>
  </si>
  <si>
    <t>Multivariable Calculus</t>
  </si>
  <si>
    <t>MATH 2552</t>
  </si>
  <si>
    <t>MATH 1552, MATH 1553</t>
  </si>
  <si>
    <t>MATH 1552, PHYS 2211</t>
  </si>
  <si>
    <t>MATH 1552, MATH 1553, MATH 2552*, CS 1371</t>
  </si>
  <si>
    <t>COE 2001, 
MATH 2552*</t>
  </si>
  <si>
    <t>PHYS 2211, MATH 2552</t>
  </si>
  <si>
    <t>ME 2202, ME 2016,
MATH 2552, ECE 3710</t>
  </si>
  <si>
    <t>ME 3322, ME 3340,
MATH 2552</t>
  </si>
  <si>
    <t>ME 3057, ME 3345, 
ME 3017, MATH 3670</t>
  </si>
  <si>
    <t>COE 2001, MATH 1553</t>
  </si>
  <si>
    <t>ME 2202, MATH 2551, MATH 2552</t>
  </si>
  <si>
    <t>COE 2001, MATH 1553*</t>
  </si>
  <si>
    <t>MATH 1551, MATH 1552*</t>
  </si>
  <si>
    <t>ME 2202, MATH 2551
MATH 2552, ME 3322*</t>
  </si>
  <si>
    <t>Computing for Engineers</t>
  </si>
  <si>
    <t>Overlay Area</t>
  </si>
  <si>
    <t>HIST 2111, HIST 2112,
POL 1101, INTA 1200,
or PUBP 3000</t>
  </si>
  <si>
    <t>[ Social Science ]</t>
  </si>
  <si>
    <t>Legislative</t>
  </si>
  <si>
    <r>
      <rPr>
        <b/>
        <sz val="9"/>
        <rFont val="Arial"/>
        <family val="2"/>
      </rPr>
      <t>Humanities Electives:</t>
    </r>
    <r>
      <rPr>
        <sz val="9"/>
        <rFont val="Arial"/>
        <family val="2"/>
      </rPr>
      <t xml:space="preserve"> See</t>
    </r>
    <r>
      <rPr>
        <sz val="9"/>
        <color indexed="12"/>
        <rFont val="Arial"/>
        <family val="2"/>
      </rPr>
      <t xml:space="preserve"> </t>
    </r>
    <r>
      <rPr>
        <u/>
        <sz val="9"/>
        <color indexed="12"/>
        <rFont val="Arial"/>
        <family val="2"/>
      </rPr>
      <t xml:space="preserve">http://catalog.gatech.edu/academics/undergraduate/core-curriculum/core-area-c/ </t>
    </r>
  </si>
  <si>
    <r>
      <rPr>
        <b/>
        <sz val="9"/>
        <rFont val="Arial"/>
        <family val="2"/>
      </rPr>
      <t>Social Science Electives:</t>
    </r>
    <r>
      <rPr>
        <sz val="9"/>
        <rFont val="Arial"/>
        <family val="2"/>
      </rPr>
      <t xml:space="preserve"> See</t>
    </r>
    <r>
      <rPr>
        <sz val="9"/>
        <color indexed="12"/>
        <rFont val="Arial"/>
        <family val="2"/>
      </rPr>
      <t xml:space="preserve"> </t>
    </r>
    <r>
      <rPr>
        <u/>
        <sz val="9"/>
        <color indexed="12"/>
        <rFont val="Arial"/>
        <family val="2"/>
      </rPr>
      <t>http://catalog.gatech.edu/academics/undergraduate/core-curriculum/core-area-e/</t>
    </r>
  </si>
  <si>
    <t>ECON 2100, 2101,
2105 or 2106</t>
  </si>
  <si>
    <r>
      <t xml:space="preserve">A list of ME Electives offered each semester is at </t>
    </r>
    <r>
      <rPr>
        <u/>
        <sz val="9"/>
        <color rgb="FF0000FF"/>
        <rFont val="Arial"/>
        <family val="2"/>
      </rPr>
      <t>http://www.me.gatech.edu/undergraduate/registration#sp</t>
    </r>
    <r>
      <rPr>
        <sz val="9"/>
        <rFont val="Arial"/>
        <family val="2"/>
      </rPr>
      <t xml:space="preserve"> </t>
    </r>
  </si>
  <si>
    <r>
      <rPr>
        <b/>
        <sz val="9"/>
        <rFont val="Arial"/>
        <family val="2"/>
      </rPr>
      <t>Ethics Overlay</t>
    </r>
    <r>
      <rPr>
        <sz val="9"/>
        <rFont val="Arial"/>
        <family val="2"/>
      </rPr>
      <t>: A 3 hour class selected from</t>
    </r>
    <r>
      <rPr>
        <sz val="9"/>
        <color indexed="12"/>
        <rFont val="Arial"/>
        <family val="2"/>
      </rPr>
      <t xml:space="preserve"> </t>
    </r>
    <r>
      <rPr>
        <u/>
        <sz val="9"/>
        <color indexed="12"/>
        <rFont val="Arial"/>
        <family val="2"/>
      </rPr>
      <t>http://catalog.gatech.edu/academics/undergraduate/core-curriculum/ethics/</t>
    </r>
  </si>
  <si>
    <t>Concentrations (Optional - Not Required)</t>
  </si>
  <si>
    <t>http://www.me.gatech.edu/undergraduate/ug-curr</t>
  </si>
  <si>
    <t>Humanities, Social Sciences and Overlay Requirement (Ethics)</t>
  </si>
  <si>
    <t xml:space="preserve">The ME curriculum has a 7 or 8 semester pre-requisite chain, depending on the design class selected. </t>
  </si>
  <si>
    <t>Pre-reqs are strictly enforced in ME.  Carefully plan your schedule in advance and have it checked by an advisor!</t>
  </si>
  <si>
    <t>MATH 1553</t>
  </si>
  <si>
    <t>1st Year</t>
  </si>
  <si>
    <t>2nd Year</t>
  </si>
  <si>
    <t>3rd Year</t>
  </si>
  <si>
    <t>4th Year</t>
  </si>
  <si>
    <t>COE 3001, MATH 3670       
ME 2110, ME 3210, ME 3017,
ME 3345, (ME 3180 or 4315)</t>
  </si>
  <si>
    <t>Students can use either a max of 6 credits of VIP (Vertically Integrated Project) courses or a max of 6 credits of research / special problems courses (2699, 4699 &amp; 4903) as free electives.  If doing both types of courses, a total of 9 credits is allowed.</t>
  </si>
  <si>
    <t>Extra Class</t>
  </si>
  <si>
    <t>(See Page 2)</t>
  </si>
  <si>
    <r>
      <rPr>
        <sz val="8"/>
        <rFont val="Arial"/>
        <family val="2"/>
      </rPr>
      <t>ECON 2100, 2101, 
2105, or 2106</t>
    </r>
    <r>
      <rPr>
        <sz val="6"/>
        <rFont val="Arial"/>
        <family val="2"/>
      </rPr>
      <t xml:space="preserve">
</t>
    </r>
    <r>
      <rPr>
        <sz val="7"/>
        <rFont val="Arial"/>
        <family val="2"/>
      </rPr>
      <t>(See Note 1)</t>
    </r>
  </si>
  <si>
    <r>
      <rPr>
        <b/>
        <sz val="7.5"/>
        <rFont val="Arial"/>
        <family val="2"/>
      </rPr>
      <t xml:space="preserve">  1. Economics</t>
    </r>
    <r>
      <rPr>
        <sz val="7.5"/>
        <rFont val="Arial"/>
        <family val="2"/>
      </rPr>
      <t>: Students can receive credit for only one of ECON 2100, ECON 2101, ECON 2105 &amp; ECON 2106.</t>
    </r>
  </si>
  <si>
    <t xml:space="preserve">     The only exception is that students can receive 6 hours credit for both ECON 2105 and ECON 2106.</t>
  </si>
  <si>
    <r>
      <rPr>
        <b/>
        <sz val="7.5"/>
        <rFont val="Arial"/>
        <family val="2"/>
      </rPr>
      <t xml:space="preserve">  2. CHEM 1310</t>
    </r>
    <r>
      <rPr>
        <sz val="7.5"/>
        <rFont val="Arial"/>
        <family val="2"/>
      </rPr>
      <t>: CHEM 1211K can substitute for CHEM 1310. CHEM 1211K &amp; 1212K are recommended for pre-health students.</t>
    </r>
  </si>
  <si>
    <r>
      <t xml:space="preserve"> NOTES:  </t>
    </r>
    <r>
      <rPr>
        <sz val="7.5"/>
        <rFont val="Arial"/>
        <family val="2"/>
      </rPr>
      <t xml:space="preserve">* Class co-requisites have an asterisk (*) after it.  These classes can be taken </t>
    </r>
  </si>
  <si>
    <t xml:space="preserve"> prior to or at the same time.  </t>
  </si>
  <si>
    <t>NOTES:</t>
  </si>
  <si>
    <t>You must fill credit hours into the Extra Classes to be used in the schedule.</t>
  </si>
  <si>
    <t xml:space="preserve">Ethics overlay is taken as a free, humanities or social science elective. It is not intended to be an extra class. </t>
  </si>
  <si>
    <t>Economics</t>
  </si>
  <si>
    <t>ME 1670</t>
  </si>
  <si>
    <t>ME 1670, COE 2001*</t>
  </si>
  <si>
    <t>ME 4182: ME Design
or ME 4723: Inter-disciplinary Design</t>
  </si>
  <si>
    <r>
      <rPr>
        <b/>
        <sz val="7.5"/>
        <rFont val="Arial"/>
        <family val="2"/>
      </rPr>
      <t xml:space="preserve">  3.</t>
    </r>
    <r>
      <rPr>
        <sz val="7.5"/>
        <rFont val="Arial"/>
        <family val="2"/>
      </rPr>
      <t xml:space="preserve"> ME 1670, 2110, 3057, 4056, 4182 &amp; 4723 cannot be dropped after phase 2 registration closes without documented medical reasons.</t>
    </r>
  </si>
  <si>
    <t>MATH 2551, MATH 2552, PHYS 2212, 
     ME 2202, CS 1371, ME 1670, CHEM 1310</t>
  </si>
  <si>
    <t>ME 1670, ME 3322, ME 3340, CS 1371,
     PHYS 2212, CHEM 1310</t>
  </si>
  <si>
    <t>ME Elect, ME 4182 or 4723, ME 4056, ISYE 3025,
     ECE 3741</t>
  </si>
  <si>
    <t>ME Elect, ME 4182 or 4723, ME 4056, 
     ECE 3741, ISYE 3025</t>
  </si>
  <si>
    <r>
      <t>ME Undergraduate Curriculum</t>
    </r>
    <r>
      <rPr>
        <b/>
        <sz val="14"/>
        <rFont val="Arial"/>
        <family val="2"/>
      </rPr>
      <t xml:space="preserve"> (Catalog: 2020 - 2021)</t>
    </r>
  </si>
  <si>
    <t>Ideal Fall Schedule</t>
  </si>
  <si>
    <t>English</t>
  </si>
  <si>
    <t>Notes and Reminders</t>
  </si>
  <si>
    <t>5.</t>
  </si>
  <si>
    <t>We do not recommend taking CS 1371 and ME 1770 (ME 1670) together during your 1st semester.</t>
  </si>
  <si>
    <t xml:space="preserve">Both classes are very time consuming.  </t>
  </si>
  <si>
    <t>registration in August.</t>
  </si>
  <si>
    <t>For the summer iGniTe program, you must register for 6-7 credit hours, including GT 1000.</t>
  </si>
  <si>
    <t>A typical schedule in fall and spring semesters is ~14 credit hours.</t>
  </si>
  <si>
    <t>COE 1000 (optional)</t>
  </si>
  <si>
    <t>Other (1-2 classes)</t>
  </si>
  <si>
    <t>Math (4 hours max)</t>
  </si>
  <si>
    <t>Science (1 class only)</t>
  </si>
  <si>
    <t>Fall Schedule Recommendations</t>
  </si>
  <si>
    <t>We do not recommend COE 2001 in the summer (strongly).</t>
  </si>
  <si>
    <t>Summer Schedule Recommendations</t>
  </si>
  <si>
    <r>
      <rPr>
        <sz val="9"/>
        <rFont val="Arial"/>
        <family val="2"/>
      </rPr>
      <t xml:space="preserve">Concentrations:   Automation &amp; Robotics, Automotive Engineering, Design, Manufacturing, Mechanics of Materials, Micro- &amp; Nano-Engineering, Nuclear Energy, Thermal Fluid &amp; Energy System     </t>
    </r>
    <r>
      <rPr>
        <u/>
        <sz val="9"/>
        <color indexed="12"/>
        <rFont val="Arial"/>
        <family val="2"/>
      </rPr>
      <t>See: www.me.gatech.edu/undergraduate/ug-curr/concentrations</t>
    </r>
  </si>
  <si>
    <t>ME 3180</t>
  </si>
  <si>
    <t>Capstone</t>
  </si>
  <si>
    <t>Min Sem.</t>
  </si>
  <si>
    <t>Column</t>
  </si>
  <si>
    <t>Row</t>
  </si>
  <si>
    <t>TextBox</t>
  </si>
  <si>
    <t>Class</t>
  </si>
  <si>
    <t xml:space="preserve">Upon completion of these classes, you will have a minimum of (__) semesters </t>
  </si>
  <si>
    <t>General Advice</t>
  </si>
  <si>
    <t>Be careful with taking CS 1371, ME 1670, ME 2110 and/or ME 2016 together</t>
  </si>
  <si>
    <t>- CS 1371: Matlab class with lots of programming homework.</t>
  </si>
  <si>
    <t>Priority Classes You Must Take</t>
  </si>
  <si>
    <t>Hours</t>
  </si>
  <si>
    <t>Ethics Overlay</t>
  </si>
  <si>
    <t>Elect Classes</t>
  </si>
  <si>
    <t>Wellness-APPH 1040/1050</t>
  </si>
  <si>
    <t>GT 1000 (1 hour) is required in the summer.</t>
  </si>
  <si>
    <r>
      <t xml:space="preserve">remaining until graduation if you take </t>
    </r>
    <r>
      <rPr>
        <b/>
        <sz val="9"/>
        <color rgb="FFFFFF00"/>
        <rFont val="Arial"/>
        <family val="2"/>
      </rPr>
      <t>ME 3180</t>
    </r>
    <r>
      <rPr>
        <b/>
        <sz val="9"/>
        <color theme="0"/>
        <rFont val="Arial"/>
        <family val="2"/>
      </rPr>
      <t xml:space="preserve"> for your design elective.</t>
    </r>
  </si>
  <si>
    <t>If you have no incoming credits (such as AP/IB), you need 16/17 hours each semester to graduate in 4 years.</t>
  </si>
  <si>
    <t>ME 1770 is equivalent to ME 1670.  In Fall '20 this course will be ME 1770.  It will be taught as ME 1670</t>
  </si>
  <si>
    <t>6.</t>
  </si>
  <si>
    <t>GT 1000 (optional)</t>
  </si>
  <si>
    <t>ME 4315</t>
  </si>
  <si>
    <r>
      <t xml:space="preserve">remaining until graduation if you take </t>
    </r>
    <r>
      <rPr>
        <b/>
        <sz val="9"/>
        <color rgb="FFFFFF00"/>
        <rFont val="Arial"/>
        <family val="2"/>
      </rPr>
      <t>ME 4315</t>
    </r>
    <r>
      <rPr>
        <b/>
        <sz val="9"/>
        <color theme="0"/>
        <rFont val="Arial"/>
        <family val="2"/>
      </rPr>
      <t xml:space="preserve"> for your design elective.</t>
    </r>
  </si>
  <si>
    <t>Row2</t>
  </si>
  <si>
    <t>Col2</t>
  </si>
  <si>
    <t>Graduation Timelines / Pre-Req Charts</t>
  </si>
  <si>
    <t>Pre-Req Classes to be Completed</t>
  </si>
  <si>
    <t>International students starting in any semester (including summer) must take 12 hours minimum.</t>
  </si>
  <si>
    <t>Full Time Enrollment &gt;= 12 Credit Hours</t>
  </si>
  <si>
    <t>Not taking these classes in your 1st term may delay graduation.</t>
  </si>
  <si>
    <t xml:space="preserve">GT 2000 is a one-credit, letter graded class designed specifically to help students to make a successful </t>
  </si>
  <si>
    <t xml:space="preserve">This pre-requisite chart depicts the pre-req chain only for the Design Elective option </t>
  </si>
  <si>
    <t xml:space="preserve">This pre-requisite chart depicts the pre-req chain only for the Design Elective option  </t>
  </si>
  <si>
    <t>starting in Spring '21. It does not matter which class you take; you will receive credit for either option.</t>
  </si>
  <si>
    <t xml:space="preserve">We do not recommend CS 1371 in your 1st semester. This class is major restricted until Phase 2 </t>
  </si>
  <si>
    <t>We do suggest CHEM 1310 and APPH 1040/1050 over the summer, if you are not expecting the credits.</t>
  </si>
  <si>
    <t>Summer 1st Year</t>
  </si>
  <si>
    <t>Transfer</t>
  </si>
  <si>
    <t>Fall 1st Year</t>
  </si>
  <si>
    <t>- ME 2016: Computing Techniques contains a fair amount of Matlab programming.</t>
  </si>
  <si>
    <t>- ME 2110: Engineering design class with very large project, and small projects. Lots of group work.</t>
  </si>
  <si>
    <t>- ME 1670: CAD design class with 2 large projects. Moderate amount of group work.</t>
  </si>
  <si>
    <t>We recommend 12-13 hours if you start in the fall or spring semesters, and 6-9 credits in the summer.</t>
  </si>
  <si>
    <t>Free Elective 1000+</t>
  </si>
  <si>
    <t xml:space="preserve">Free Elective 2000+ </t>
  </si>
  <si>
    <t>Spring 1st Year</t>
  </si>
  <si>
    <t>Suggested Spring Schedule</t>
  </si>
  <si>
    <t>GT 1000 is available in the spring semester, for students who have not previously taken it.</t>
  </si>
  <si>
    <t xml:space="preserve">To stay on track for a 4 year graduation, most students need ~16 credits per semester, depending </t>
  </si>
  <si>
    <t>on the number of credits you brought into Georgia Tech.</t>
  </si>
  <si>
    <t>Not taking these classes in the spring may delay graduation.</t>
  </si>
  <si>
    <t xml:space="preserve">Be careful with taking CS 1371, ME 1670, ME 2110 and/or ME 2016 together, especially if you </t>
  </si>
  <si>
    <t>are also taking a lab science class.</t>
  </si>
  <si>
    <t>International students must be full time (&gt;= 12 hours) in fall and spring semesters.</t>
  </si>
  <si>
    <r>
      <t>the "</t>
    </r>
    <r>
      <rPr>
        <b/>
        <sz val="9"/>
        <rFont val="Arial"/>
        <family val="2"/>
      </rPr>
      <t>STEM Options</t>
    </r>
    <r>
      <rPr>
        <sz val="9"/>
        <rFont val="Arial"/>
        <family val="2"/>
      </rPr>
      <t>" or "</t>
    </r>
    <r>
      <rPr>
        <b/>
        <sz val="9"/>
        <rFont val="Arial"/>
        <family val="2"/>
      </rPr>
      <t>Elective Options</t>
    </r>
    <r>
      <rPr>
        <sz val="9"/>
        <rFont val="Arial"/>
        <family val="2"/>
      </rPr>
      <t xml:space="preserve">" to it. </t>
    </r>
  </si>
  <si>
    <t>To be a full-time student, you must be enrolled in at least 12 credit hours in any semester.  This includes</t>
  </si>
  <si>
    <t>Students must complete ENGL 1101 and ENGL 1102 by the end of their first year.</t>
  </si>
  <si>
    <t>Do not overload yourself with STEM classes.  Follow the recommendation above.</t>
  </si>
  <si>
    <t>fall, spring and summer. International students must always be full time in fall and spring semesters.</t>
  </si>
  <si>
    <t>ME electives are 3000-level or above ME classes, excluding ME 3141, 3700, 3720, 3743, 3744, 4699, 4741, 4742, 4753, 4903 &amp; ME 4803 (patent class).  Other excluded classes may be added to the list throughout the year as new courses are created.</t>
  </si>
  <si>
    <t>Engineering
Graphcs &amp; Design</t>
  </si>
  <si>
    <t>(Same as ME 1770)</t>
  </si>
  <si>
    <t>Creating Your Fall Schedule</t>
  </si>
  <si>
    <t>To build a fall schedule that meets your desired credit hours,</t>
  </si>
  <si>
    <r>
      <t>start with the "</t>
    </r>
    <r>
      <rPr>
        <b/>
        <sz val="9"/>
        <rFont val="Arial"/>
        <family val="2"/>
      </rPr>
      <t>Suggested Schedule</t>
    </r>
    <r>
      <rPr>
        <sz val="9"/>
        <rFont val="Arial"/>
        <family val="2"/>
      </rPr>
      <t xml:space="preserve">" and add classes from </t>
    </r>
  </si>
  <si>
    <t>Restriction information about fall classes can be found at:</t>
  </si>
  <si>
    <t>http://www.me.gatech.edu/files/ug/fallhints.pdf</t>
  </si>
  <si>
    <r>
      <t>To meet your desired credit hours, start with your "</t>
    </r>
    <r>
      <rPr>
        <b/>
        <sz val="9"/>
        <rFont val="Arial"/>
        <family val="2"/>
      </rPr>
      <t>Suggested Spring Schedule</t>
    </r>
    <r>
      <rPr>
        <sz val="9"/>
        <rFont val="Arial"/>
        <family val="2"/>
      </rPr>
      <t>" and add classes from</t>
    </r>
  </si>
  <si>
    <r>
      <t>the "</t>
    </r>
    <r>
      <rPr>
        <b/>
        <sz val="9"/>
        <rFont val="Arial"/>
        <family val="2"/>
      </rPr>
      <t>STEM Options</t>
    </r>
    <r>
      <rPr>
        <sz val="9"/>
        <rFont val="Arial"/>
        <family val="2"/>
      </rPr>
      <t>" and "</t>
    </r>
    <r>
      <rPr>
        <b/>
        <sz val="9"/>
        <rFont val="Arial"/>
        <family val="2"/>
      </rPr>
      <t>Elective Options</t>
    </r>
    <r>
      <rPr>
        <sz val="9"/>
        <rFont val="Arial"/>
        <family val="2"/>
      </rPr>
      <t xml:space="preserve">".    </t>
    </r>
  </si>
  <si>
    <t>ME 3180 is the more common option.</t>
  </si>
  <si>
    <t>This schedule does not account for minors or extra classes you may want such as Grand Challenges, etc.</t>
  </si>
  <si>
    <t>ME 1770 is equivalent to ME 1670.  In Fall '20 this course was ME 1770.  ME 1670 is scheduled to start</t>
  </si>
  <si>
    <t xml:space="preserve"> in Spring '21. It does not matter which class you take; you will receive credit for either option.</t>
  </si>
  <si>
    <t>ME 3180, Machine Design (mechanical design). ~85% of ME students take this option.</t>
  </si>
  <si>
    <t>ME 4315, Energy Systems Design (thermal design). ~15% of ME students take this option.</t>
  </si>
  <si>
    <t>transition to Tech. The class covers topics such as resumes, campus resources and academic success.</t>
  </si>
  <si>
    <r>
      <t>To meet your desired credit hours, add classes from the other three categories to your "</t>
    </r>
    <r>
      <rPr>
        <b/>
        <sz val="9"/>
        <rFont val="Arial"/>
        <family val="2"/>
      </rPr>
      <t>Priority Classes</t>
    </r>
    <r>
      <rPr>
        <sz val="9"/>
        <rFont val="Arial"/>
        <family val="2"/>
      </rPr>
      <t xml:space="preserve">".  Start </t>
    </r>
  </si>
  <si>
    <r>
      <t>with "</t>
    </r>
    <r>
      <rPr>
        <b/>
        <sz val="9"/>
        <rFont val="Arial"/>
        <family val="2"/>
      </rPr>
      <t>Classes You Could Take</t>
    </r>
    <r>
      <rPr>
        <sz val="9"/>
        <rFont val="Arial"/>
        <family val="2"/>
      </rPr>
      <t>" and move to the "</t>
    </r>
    <r>
      <rPr>
        <b/>
        <sz val="9"/>
        <rFont val="Arial"/>
        <family val="2"/>
      </rPr>
      <t>Lower Priority</t>
    </r>
    <r>
      <rPr>
        <sz val="9"/>
        <rFont val="Arial"/>
        <family val="2"/>
      </rPr>
      <t>" or "</t>
    </r>
    <r>
      <rPr>
        <b/>
        <sz val="9"/>
        <rFont val="Arial"/>
        <family val="2"/>
      </rPr>
      <t>Elective Options</t>
    </r>
    <r>
      <rPr>
        <sz val="9"/>
        <rFont val="Arial"/>
        <family val="2"/>
      </rPr>
      <t xml:space="preserve">".  </t>
    </r>
  </si>
  <si>
    <t>Humanities</t>
  </si>
  <si>
    <t>Free 1000+</t>
  </si>
  <si>
    <t>Free 2000+</t>
  </si>
  <si>
    <t>Extra</t>
  </si>
  <si>
    <t>Prereq</t>
  </si>
  <si>
    <t>Social Sciemce</t>
  </si>
  <si>
    <t>MSE 2001, ME 2110,
COE 3001</t>
  </si>
  <si>
    <t>At least 9 hours of free electives must be at the 2000 level or above with the exception of 4 hours that may be satisfied with the following:  BIOS 1107/1107L, BIOS 1108/1108L, BIOS 1207/1207L, BIOS 1208/1208L, BIOL 1501, BIOL 1520 or CHEM 1212K.</t>
  </si>
  <si>
    <r>
      <t>Design Electives:</t>
    </r>
    <r>
      <rPr>
        <sz val="9"/>
        <rFont val="Arial"/>
        <family val="2"/>
      </rPr>
      <t xml:space="preserve"> Students may take both design electives. One will satisfy the design elective &amp; the other will satisfy the ME Elective.</t>
    </r>
  </si>
  <si>
    <t>Research and VIP cannot be used to satisfy the ME Elective. They can only be used as free electives (see section below for rules).</t>
  </si>
  <si>
    <t>R13
5/22/20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</si>
</sst>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4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6"/>
      <name val="Arial"/>
      <family val="2"/>
    </font>
    <font>
      <b/>
      <sz val="14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b/>
      <sz val="8"/>
      <color indexed="10"/>
      <name val="Arial"/>
      <family val="2"/>
    </font>
    <font>
      <b/>
      <sz val="7.5"/>
      <name val="Arial"/>
      <family val="2"/>
    </font>
    <font>
      <sz val="7.5"/>
      <name val="Arial"/>
      <family val="2"/>
    </font>
    <font>
      <b/>
      <sz val="7.5"/>
      <color rgb="FFFF0000"/>
      <name val="Arial Rounded MT Bold"/>
      <family val="2"/>
    </font>
    <font>
      <sz val="9"/>
      <color indexed="22"/>
      <name val="Arial"/>
      <family val="2"/>
    </font>
    <font>
      <b/>
      <sz val="9"/>
      <color rgb="FFFF0000"/>
      <name val="Arial"/>
      <family val="2"/>
    </font>
    <font>
      <b/>
      <sz val="12"/>
      <color indexed="9"/>
      <name val="Arial"/>
      <family val="2"/>
    </font>
    <font>
      <b/>
      <sz val="10"/>
      <color rgb="FFFF0000"/>
      <name val="Arial"/>
      <family val="2"/>
    </font>
    <font>
      <b/>
      <sz val="11"/>
      <name val="Arial"/>
      <family val="2"/>
    </font>
    <font>
      <b/>
      <sz val="11"/>
      <color rgb="FFFF0000"/>
      <name val="Arial"/>
      <family val="2"/>
    </font>
    <font>
      <sz val="38"/>
      <color rgb="FFFF0000"/>
      <name val="Arial Rounded MT Bold"/>
      <family val="2"/>
    </font>
    <font>
      <b/>
      <sz val="11"/>
      <color theme="0"/>
      <name val="Arial"/>
      <family val="2"/>
    </font>
    <font>
      <sz val="5.5"/>
      <name val="Arial"/>
      <family val="2"/>
    </font>
    <font>
      <sz val="8.5"/>
      <name val="Arial"/>
      <family val="2"/>
    </font>
    <font>
      <b/>
      <sz val="10"/>
      <color theme="1"/>
      <name val="Arial"/>
      <family val="2"/>
    </font>
    <font>
      <sz val="9"/>
      <color indexed="12"/>
      <name val="Arial"/>
      <family val="2"/>
    </font>
    <font>
      <u/>
      <sz val="9"/>
      <color indexed="12"/>
      <name val="Arial"/>
      <family val="2"/>
    </font>
    <font>
      <u/>
      <sz val="9"/>
      <color rgb="FF0000FF"/>
      <name val="Arial"/>
      <family val="2"/>
    </font>
    <font>
      <sz val="13"/>
      <name val="Arial"/>
      <family val="2"/>
    </font>
    <font>
      <b/>
      <sz val="13"/>
      <name val="Arial"/>
      <family val="2"/>
    </font>
    <font>
      <b/>
      <sz val="13"/>
      <color theme="0"/>
      <name val="Arial"/>
      <family val="2"/>
    </font>
    <font>
      <b/>
      <sz val="11.5"/>
      <name val="Arial"/>
      <family val="2"/>
    </font>
    <font>
      <sz val="11.5"/>
      <name val="Arial"/>
      <family val="2"/>
    </font>
    <font>
      <sz val="11"/>
      <name val="Arial"/>
      <family val="2"/>
    </font>
    <font>
      <sz val="7.5"/>
      <color rgb="FFFF0000"/>
      <name val="Arial Rounded MT Bold"/>
      <family val="2"/>
    </font>
    <font>
      <b/>
      <sz val="7.5"/>
      <color rgb="FF000000"/>
      <name val="Arial Rounded MT Bold"/>
      <family val="2"/>
    </font>
    <font>
      <sz val="7.5"/>
      <color rgb="FFFFFFFF"/>
      <name val="Arial Rounded MT Bold"/>
      <family val="2"/>
    </font>
    <font>
      <b/>
      <sz val="8"/>
      <color rgb="FFFF0000"/>
      <name val="Arial Rounded MT Bold"/>
      <family val="2"/>
    </font>
    <font>
      <b/>
      <sz val="8"/>
      <color rgb="FFFF0000"/>
      <name val="Arial"/>
      <family val="2"/>
    </font>
    <font>
      <sz val="8"/>
      <color rgb="FFFFFFFF"/>
      <name val="Arial Rounded MT Bold"/>
      <family val="2"/>
    </font>
    <font>
      <b/>
      <sz val="9"/>
      <color rgb="FFFF0000"/>
      <name val="Arial Rounded MT Bold"/>
      <family val="2"/>
    </font>
    <font>
      <sz val="10"/>
      <color rgb="FFFF0000"/>
      <name val="Arial"/>
      <family val="2"/>
    </font>
    <font>
      <i/>
      <sz val="9"/>
      <name val="Arial"/>
      <family val="2"/>
    </font>
    <font>
      <b/>
      <u/>
      <sz val="9"/>
      <name val="Arial"/>
      <family val="2"/>
    </font>
    <font>
      <b/>
      <i/>
      <sz val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FF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E1FFFF"/>
        <bgColor indexed="64"/>
      </patternFill>
    </fill>
    <fill>
      <patternFill patternType="solid">
        <fgColor rgb="FFFFFFD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4" fillId="0" borderId="0"/>
  </cellStyleXfs>
  <cellXfs count="417">
    <xf numFmtId="0" fontId="0" fillId="0" borderId="0" xfId="0"/>
    <xf numFmtId="0" fontId="3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3" fillId="0" borderId="0" xfId="0" applyFont="1" applyBorder="1" applyAlignment="1" applyProtection="1">
      <alignment horizontal="left" vertical="center"/>
    </xf>
    <xf numFmtId="0" fontId="4" fillId="0" borderId="0" xfId="0" applyFont="1" applyBorder="1" applyAlignment="1" applyProtection="1">
      <alignment horizontal="center" vertical="center"/>
    </xf>
    <xf numFmtId="0" fontId="14" fillId="0" borderId="7" xfId="0" applyFont="1" applyBorder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14" fillId="0" borderId="7" xfId="0" applyFont="1" applyBorder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</xf>
    <xf numFmtId="0" fontId="15" fillId="3" borderId="0" xfId="0" applyFont="1" applyFill="1" applyBorder="1" applyAlignment="1" applyProtection="1">
      <alignment horizontal="center" vertical="center"/>
    </xf>
    <xf numFmtId="0" fontId="15" fillId="3" borderId="5" xfId="0" applyFont="1" applyFill="1" applyBorder="1" applyAlignment="1" applyProtection="1">
      <alignment horizontal="center" vertical="center"/>
    </xf>
    <xf numFmtId="0" fontId="5" fillId="3" borderId="0" xfId="0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11" fillId="3" borderId="2" xfId="0" applyFont="1" applyFill="1" applyBorder="1" applyAlignment="1" applyProtection="1">
      <alignment horizontal="center" vertical="center"/>
    </xf>
    <xf numFmtId="0" fontId="5" fillId="3" borderId="2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8" fillId="3" borderId="0" xfId="0" applyFont="1" applyFill="1" applyBorder="1" applyAlignment="1" applyProtection="1">
      <alignment horizontal="center" vertical="center"/>
    </xf>
    <xf numFmtId="0" fontId="10" fillId="3" borderId="0" xfId="0" applyFont="1" applyFill="1" applyBorder="1" applyAlignment="1" applyProtection="1">
      <alignment horizontal="center" vertical="center"/>
    </xf>
    <xf numFmtId="0" fontId="4" fillId="3" borderId="4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11" fillId="3" borderId="7" xfId="0" applyFont="1" applyFill="1" applyBorder="1" applyAlignment="1" applyProtection="1">
      <alignment horizontal="center" vertical="center"/>
    </xf>
    <xf numFmtId="0" fontId="5" fillId="3" borderId="7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4" fillId="3" borderId="19" xfId="0" applyFont="1" applyFill="1" applyBorder="1" applyAlignment="1" applyProtection="1">
      <alignment horizontal="center" vertical="center"/>
    </xf>
    <xf numFmtId="0" fontId="4" fillId="3" borderId="7" xfId="0" applyNumberFormat="1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20" xfId="0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left" vertical="center"/>
    </xf>
    <xf numFmtId="0" fontId="15" fillId="0" borderId="0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left" vertical="center"/>
    </xf>
    <xf numFmtId="0" fontId="18" fillId="0" borderId="0" xfId="0" applyFont="1" applyAlignment="1" applyProtection="1">
      <alignment horizontal="left" vertical="center"/>
    </xf>
    <xf numFmtId="0" fontId="17" fillId="0" borderId="0" xfId="0" quotePrefix="1" applyFont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9" fillId="0" borderId="22" xfId="0" applyFont="1" applyFill="1" applyBorder="1" applyAlignment="1" applyProtection="1">
      <alignment horizontal="left" vertical="center"/>
    </xf>
    <xf numFmtId="0" fontId="9" fillId="0" borderId="0" xfId="0" applyFont="1" applyFill="1" applyBorder="1" applyAlignment="1" applyProtection="1">
      <alignment horizontal="left" vertical="center"/>
    </xf>
    <xf numFmtId="0" fontId="9" fillId="0" borderId="0" xfId="0" applyFont="1" applyAlignment="1" applyProtection="1">
      <alignment horizontal="left" vertical="center"/>
    </xf>
    <xf numFmtId="0" fontId="18" fillId="0" borderId="0" xfId="0" applyFont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left" vertical="center"/>
    </xf>
    <xf numFmtId="0" fontId="12" fillId="0" borderId="0" xfId="0" applyFont="1" applyBorder="1" applyAlignment="1" applyProtection="1">
      <alignment horizontal="left" vertical="center"/>
    </xf>
    <xf numFmtId="0" fontId="12" fillId="0" borderId="22" xfId="0" applyFont="1" applyFill="1" applyBorder="1" applyAlignment="1" applyProtection="1">
      <alignment horizontal="center" vertical="center"/>
    </xf>
    <xf numFmtId="0" fontId="9" fillId="0" borderId="32" xfId="0" applyFont="1" applyFill="1" applyBorder="1" applyAlignment="1" applyProtection="1">
      <alignment horizontal="left" vertical="center"/>
    </xf>
    <xf numFmtId="0" fontId="9" fillId="0" borderId="22" xfId="0" applyFont="1" applyBorder="1" applyAlignment="1" applyProtection="1">
      <alignment horizontal="left" vertical="center"/>
    </xf>
    <xf numFmtId="0" fontId="9" fillId="0" borderId="22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17" fillId="0" borderId="0" xfId="0" quotePrefix="1" applyFont="1" applyBorder="1" applyAlignment="1" applyProtection="1">
      <alignment horizontal="center" vertical="center"/>
    </xf>
    <xf numFmtId="14" fontId="4" fillId="9" borderId="9" xfId="0" quotePrefix="1" applyNumberFormat="1" applyFont="1" applyFill="1" applyBorder="1" applyAlignment="1" applyProtection="1">
      <alignment horizontal="center" vertical="center"/>
    </xf>
    <xf numFmtId="0" fontId="10" fillId="9" borderId="10" xfId="0" applyFont="1" applyFill="1" applyBorder="1" applyAlignment="1" applyProtection="1">
      <alignment horizontal="center" vertical="center"/>
    </xf>
    <xf numFmtId="0" fontId="4" fillId="9" borderId="9" xfId="0" quotePrefix="1" applyFont="1" applyFill="1" applyBorder="1" applyAlignment="1" applyProtection="1">
      <alignment horizontal="center" vertical="center"/>
    </xf>
    <xf numFmtId="0" fontId="10" fillId="9" borderId="10" xfId="0" applyFont="1" applyFill="1" applyBorder="1" applyAlignment="1" applyProtection="1">
      <alignment horizontal="center" vertical="center" wrapText="1"/>
    </xf>
    <xf numFmtId="0" fontId="10" fillId="9" borderId="15" xfId="0" applyFont="1" applyFill="1" applyBorder="1" applyAlignment="1" applyProtection="1">
      <alignment horizontal="center" vertical="center"/>
    </xf>
    <xf numFmtId="0" fontId="4" fillId="9" borderId="10" xfId="0" applyFont="1" applyFill="1" applyBorder="1" applyAlignment="1" applyProtection="1">
      <alignment horizontal="center" vertical="center"/>
    </xf>
    <xf numFmtId="0" fontId="10" fillId="9" borderId="16" xfId="0" applyFont="1" applyFill="1" applyBorder="1" applyAlignment="1" applyProtection="1">
      <alignment horizontal="center" vertical="center" wrapText="1"/>
    </xf>
    <xf numFmtId="0" fontId="4" fillId="9" borderId="17" xfId="0" quotePrefix="1" applyFont="1" applyFill="1" applyBorder="1" applyAlignment="1" applyProtection="1">
      <alignment horizontal="center" vertical="center"/>
    </xf>
    <xf numFmtId="0" fontId="15" fillId="3" borderId="3" xfId="0" applyFont="1" applyFill="1" applyBorder="1" applyAlignment="1" applyProtection="1">
      <alignment horizontal="center" vertical="center"/>
    </xf>
    <xf numFmtId="0" fontId="15" fillId="3" borderId="4" xfId="0" applyFont="1" applyFill="1" applyBorder="1" applyAlignment="1" applyProtection="1">
      <alignment horizontal="center" vertical="center"/>
    </xf>
    <xf numFmtId="0" fontId="15" fillId="3" borderId="6" xfId="0" applyFont="1" applyFill="1" applyBorder="1" applyAlignment="1" applyProtection="1">
      <alignment horizontal="center" vertical="center"/>
    </xf>
    <xf numFmtId="0" fontId="15" fillId="3" borderId="7" xfId="0" applyFont="1" applyFill="1" applyBorder="1" applyAlignment="1" applyProtection="1">
      <alignment horizontal="center" vertical="center"/>
    </xf>
    <xf numFmtId="0" fontId="15" fillId="3" borderId="8" xfId="0" applyFont="1" applyFill="1" applyBorder="1" applyAlignment="1" applyProtection="1">
      <alignment horizontal="center" vertical="center"/>
    </xf>
    <xf numFmtId="0" fontId="4" fillId="10" borderId="2" xfId="0" applyFont="1" applyFill="1" applyBorder="1" applyAlignment="1" applyProtection="1">
      <alignment horizontal="center" vertical="center"/>
    </xf>
    <xf numFmtId="0" fontId="4" fillId="10" borderId="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4" fillId="10" borderId="5" xfId="0" applyFont="1" applyFill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 vertical="center"/>
    </xf>
    <xf numFmtId="0" fontId="4" fillId="10" borderId="8" xfId="0" applyFont="1" applyFill="1" applyBorder="1" applyAlignment="1" applyProtection="1">
      <alignment horizontal="center" vertical="center"/>
    </xf>
    <xf numFmtId="0" fontId="15" fillId="10" borderId="1" xfId="0" applyFont="1" applyFill="1" applyBorder="1" applyAlignment="1" applyProtection="1">
      <alignment horizontal="center" vertical="center"/>
    </xf>
    <xf numFmtId="0" fontId="15" fillId="10" borderId="2" xfId="0" applyFont="1" applyFill="1" applyBorder="1" applyAlignment="1" applyProtection="1">
      <alignment horizontal="center" vertical="center"/>
    </xf>
    <xf numFmtId="0" fontId="15" fillId="10" borderId="3" xfId="0" applyFont="1" applyFill="1" applyBorder="1" applyAlignment="1" applyProtection="1">
      <alignment horizontal="center" vertical="center"/>
    </xf>
    <xf numFmtId="0" fontId="4" fillId="10" borderId="6" xfId="0" applyFont="1" applyFill="1" applyBorder="1" applyAlignment="1" applyProtection="1">
      <alignment horizontal="center" vertical="center"/>
    </xf>
    <xf numFmtId="0" fontId="5" fillId="10" borderId="2" xfId="0" applyFont="1" applyFill="1" applyBorder="1" applyAlignment="1" applyProtection="1">
      <alignment horizontal="center" vertical="center"/>
    </xf>
    <xf numFmtId="0" fontId="6" fillId="10" borderId="2" xfId="0" applyFont="1" applyFill="1" applyBorder="1" applyAlignment="1" applyProtection="1">
      <alignment horizontal="center" vertical="center"/>
    </xf>
    <xf numFmtId="0" fontId="6" fillId="10" borderId="0" xfId="0" applyFont="1" applyFill="1" applyBorder="1" applyAlignment="1" applyProtection="1">
      <alignment horizontal="center" vertical="center"/>
    </xf>
    <xf numFmtId="0" fontId="5" fillId="10" borderId="7" xfId="0" applyFont="1" applyFill="1" applyBorder="1" applyAlignment="1" applyProtection="1">
      <alignment horizontal="center" vertical="center"/>
    </xf>
    <xf numFmtId="0" fontId="6" fillId="10" borderId="7" xfId="0" applyFont="1" applyFill="1" applyBorder="1" applyAlignment="1" applyProtection="1">
      <alignment horizontal="center" vertical="center"/>
    </xf>
    <xf numFmtId="0" fontId="8" fillId="10" borderId="0" xfId="0" applyFont="1" applyFill="1" applyBorder="1" applyAlignment="1" applyProtection="1">
      <alignment horizontal="center" vertical="center"/>
    </xf>
    <xf numFmtId="0" fontId="4" fillId="10" borderId="1" xfId="0" applyFont="1" applyFill="1" applyBorder="1" applyAlignment="1" applyProtection="1">
      <alignment horizontal="center" vertical="center"/>
    </xf>
    <xf numFmtId="0" fontId="4" fillId="10" borderId="4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11" fillId="10" borderId="5" xfId="0" quotePrefix="1" applyFont="1" applyFill="1" applyBorder="1" applyAlignment="1" applyProtection="1">
      <alignment horizontal="center" vertical="center" wrapText="1"/>
    </xf>
    <xf numFmtId="0" fontId="8" fillId="10" borderId="5" xfId="0" applyFont="1" applyFill="1" applyBorder="1" applyAlignment="1" applyProtection="1">
      <alignment horizontal="center" vertical="center"/>
    </xf>
    <xf numFmtId="0" fontId="11" fillId="10" borderId="5" xfId="0" quotePrefix="1" applyFont="1" applyFill="1" applyBorder="1" applyAlignment="1" applyProtection="1">
      <alignment horizontal="center" vertical="center"/>
    </xf>
    <xf numFmtId="0" fontId="10" fillId="10" borderId="0" xfId="0" applyFont="1" applyFill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8" fillId="0" borderId="2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9" fillId="0" borderId="38" xfId="0" applyFont="1" applyBorder="1" applyAlignment="1" applyProtection="1">
      <alignment horizontal="center" vertical="center"/>
    </xf>
    <xf numFmtId="0" fontId="9" fillId="0" borderId="39" xfId="0" applyFont="1" applyBorder="1" applyAlignment="1" applyProtection="1">
      <alignment horizontal="center" vertical="center"/>
    </xf>
    <xf numFmtId="0" fontId="12" fillId="0" borderId="0" xfId="0" applyFont="1" applyBorder="1" applyAlignment="1">
      <alignment horizontal="left" vertical="center"/>
    </xf>
    <xf numFmtId="0" fontId="9" fillId="0" borderId="5" xfId="0" applyFont="1" applyBorder="1" applyAlignment="1" applyProtection="1">
      <alignment horizontal="center" vertical="center"/>
    </xf>
    <xf numFmtId="0" fontId="9" fillId="0" borderId="40" xfId="0" applyFont="1" applyBorder="1" applyAlignment="1" applyProtection="1">
      <alignment horizontal="center" vertical="center"/>
    </xf>
    <xf numFmtId="0" fontId="9" fillId="0" borderId="5" xfId="0" applyFont="1" applyBorder="1" applyAlignment="1" applyProtection="1">
      <alignment vertical="center" wrapText="1"/>
    </xf>
    <xf numFmtId="0" fontId="4" fillId="0" borderId="6" xfId="0" applyFont="1" applyBorder="1" applyAlignment="1" applyProtection="1">
      <alignment horizontal="center" vertical="center"/>
    </xf>
    <xf numFmtId="0" fontId="12" fillId="0" borderId="21" xfId="0" applyFont="1" applyFill="1" applyBorder="1" applyAlignment="1" applyProtection="1">
      <alignment horizontal="center" vertical="center"/>
    </xf>
    <xf numFmtId="0" fontId="12" fillId="0" borderId="41" xfId="0" applyFont="1" applyFill="1" applyBorder="1" applyAlignment="1" applyProtection="1">
      <alignment horizontal="center" vertical="center"/>
    </xf>
    <xf numFmtId="0" fontId="12" fillId="0" borderId="37" xfId="0" applyFont="1" applyFill="1" applyBorder="1" applyAlignment="1" applyProtection="1">
      <alignment horizontal="center" vertical="center"/>
    </xf>
    <xf numFmtId="0" fontId="12" fillId="0" borderId="38" xfId="0" applyFont="1" applyFill="1" applyBorder="1" applyAlignment="1" applyProtection="1">
      <alignment horizontal="center" vertical="center"/>
    </xf>
    <xf numFmtId="0" fontId="12" fillId="0" borderId="42" xfId="0" applyFont="1" applyFill="1" applyBorder="1" applyAlignment="1" applyProtection="1">
      <alignment horizontal="center" vertical="center"/>
    </xf>
    <xf numFmtId="0" fontId="12" fillId="0" borderId="39" xfId="0" applyFont="1" applyFill="1" applyBorder="1" applyAlignment="1" applyProtection="1">
      <alignment horizontal="center" vertical="center"/>
    </xf>
    <xf numFmtId="0" fontId="20" fillId="0" borderId="42" xfId="0" applyFont="1" applyFill="1" applyBorder="1" applyAlignment="1" applyProtection="1">
      <alignment horizontal="left" vertical="center"/>
    </xf>
    <xf numFmtId="0" fontId="9" fillId="0" borderId="39" xfId="0" applyFont="1" applyFill="1" applyBorder="1" applyAlignment="1" applyProtection="1">
      <alignment horizontal="left" vertical="center"/>
    </xf>
    <xf numFmtId="0" fontId="20" fillId="0" borderId="44" xfId="0" applyFont="1" applyFill="1" applyBorder="1" applyAlignment="1" applyProtection="1">
      <alignment horizontal="left" vertical="center"/>
    </xf>
    <xf numFmtId="0" fontId="9" fillId="0" borderId="45" xfId="0" applyFont="1" applyFill="1" applyBorder="1" applyAlignment="1" applyProtection="1">
      <alignment horizontal="left" vertical="center"/>
    </xf>
    <xf numFmtId="0" fontId="8" fillId="0" borderId="4" xfId="0" applyFont="1" applyFill="1" applyBorder="1" applyAlignment="1" applyProtection="1">
      <alignment vertical="center" wrapText="1"/>
    </xf>
    <xf numFmtId="0" fontId="4" fillId="0" borderId="5" xfId="0" applyFont="1" applyBorder="1" applyAlignment="1" applyProtection="1">
      <alignment horizontal="center" vertical="center"/>
    </xf>
    <xf numFmtId="0" fontId="15" fillId="0" borderId="6" xfId="0" applyFont="1" applyBorder="1" applyAlignment="1" applyProtection="1">
      <alignment horizontal="center" vertical="center"/>
    </xf>
    <xf numFmtId="0" fontId="5" fillId="0" borderId="7" xfId="0" applyFont="1" applyFill="1" applyBorder="1" applyAlignment="1" applyProtection="1">
      <alignment horizontal="left" vertical="center" wrapText="1"/>
    </xf>
    <xf numFmtId="0" fontId="11" fillId="0" borderId="7" xfId="0" applyFont="1" applyFill="1" applyBorder="1" applyAlignment="1" applyProtection="1">
      <alignment horizontal="center" vertical="center"/>
    </xf>
    <xf numFmtId="0" fontId="15" fillId="0" borderId="7" xfId="0" applyFont="1" applyBorder="1" applyAlignment="1" applyProtection="1">
      <alignment horizontal="center" vertical="center"/>
    </xf>
    <xf numFmtId="0" fontId="15" fillId="0" borderId="8" xfId="0" applyFont="1" applyBorder="1" applyAlignment="1" applyProtection="1">
      <alignment horizontal="center" vertical="center"/>
    </xf>
    <xf numFmtId="0" fontId="9" fillId="0" borderId="44" xfId="0" applyFont="1" applyFill="1" applyBorder="1" applyAlignment="1" applyProtection="1">
      <alignment horizontal="left" vertical="center" wrapText="1"/>
    </xf>
    <xf numFmtId="0" fontId="12" fillId="0" borderId="43" xfId="0" applyFont="1" applyFill="1" applyBorder="1" applyAlignment="1" applyProtection="1">
      <alignment horizontal="center" vertical="center"/>
    </xf>
    <xf numFmtId="0" fontId="12" fillId="0" borderId="40" xfId="0" applyFont="1" applyFill="1" applyBorder="1" applyAlignment="1" applyProtection="1">
      <alignment horizontal="center" vertical="center"/>
    </xf>
    <xf numFmtId="0" fontId="20" fillId="0" borderId="43" xfId="0" applyFont="1" applyFill="1" applyBorder="1" applyAlignment="1" applyProtection="1">
      <alignment horizontal="left" vertical="center"/>
    </xf>
    <xf numFmtId="0" fontId="9" fillId="0" borderId="21" xfId="0" applyFont="1" applyFill="1" applyBorder="1" applyAlignment="1" applyProtection="1">
      <alignment horizontal="left" vertical="center"/>
    </xf>
    <xf numFmtId="0" fontId="9" fillId="0" borderId="40" xfId="0" applyFont="1" applyFill="1" applyBorder="1" applyAlignment="1" applyProtection="1">
      <alignment horizontal="left" vertical="center"/>
    </xf>
    <xf numFmtId="0" fontId="26" fillId="0" borderId="0" xfId="0" applyFont="1" applyAlignment="1" applyProtection="1">
      <alignment horizontal="center" vertical="center"/>
    </xf>
    <xf numFmtId="0" fontId="3" fillId="9" borderId="12" xfId="0" quotePrefix="1" applyFont="1" applyFill="1" applyBorder="1" applyAlignment="1" applyProtection="1">
      <alignment horizontal="center" vertical="center"/>
    </xf>
    <xf numFmtId="0" fontId="10" fillId="9" borderId="10" xfId="0" quotePrefix="1" applyFont="1" applyFill="1" applyBorder="1" applyAlignment="1" applyProtection="1">
      <alignment horizontal="center" vertical="center"/>
    </xf>
    <xf numFmtId="0" fontId="4" fillId="9" borderId="10" xfId="0" quotePrefix="1" applyFont="1" applyFill="1" applyBorder="1" applyAlignment="1" applyProtection="1">
      <alignment horizontal="center" vertical="center" wrapText="1"/>
    </xf>
    <xf numFmtId="0" fontId="10" fillId="9" borderId="10" xfId="0" quotePrefix="1" applyFont="1" applyFill="1" applyBorder="1" applyAlignment="1" applyProtection="1">
      <alignment horizontal="center" vertical="center" wrapText="1"/>
    </xf>
    <xf numFmtId="0" fontId="3" fillId="9" borderId="12" xfId="0" applyFont="1" applyFill="1" applyBorder="1" applyAlignment="1" applyProtection="1">
      <alignment vertical="center"/>
    </xf>
    <xf numFmtId="0" fontId="5" fillId="10" borderId="0" xfId="0" quotePrefix="1" applyFont="1" applyFill="1" applyBorder="1" applyAlignment="1" applyProtection="1">
      <alignment vertical="center"/>
    </xf>
    <xf numFmtId="0" fontId="5" fillId="10" borderId="5" xfId="0" quotePrefix="1" applyFont="1" applyFill="1" applyBorder="1" applyAlignment="1" applyProtection="1">
      <alignment vertical="center"/>
    </xf>
    <xf numFmtId="0" fontId="15" fillId="0" borderId="0" xfId="0" applyFont="1" applyFill="1" applyBorder="1" applyAlignment="1" applyProtection="1">
      <alignment horizontal="center" vertical="center"/>
    </xf>
    <xf numFmtId="0" fontId="24" fillId="3" borderId="1" xfId="0" applyFont="1" applyFill="1" applyBorder="1" applyAlignment="1" applyProtection="1">
      <alignment horizontal="center" vertical="center"/>
    </xf>
    <xf numFmtId="0" fontId="10" fillId="9" borderId="12" xfId="0" applyFont="1" applyFill="1" applyBorder="1" applyAlignment="1" applyProtection="1">
      <alignment horizontal="center" vertical="center"/>
    </xf>
    <xf numFmtId="0" fontId="20" fillId="0" borderId="41" xfId="0" applyFont="1" applyFill="1" applyBorder="1" applyAlignment="1" applyProtection="1">
      <alignment horizontal="left" vertical="center"/>
    </xf>
    <xf numFmtId="0" fontId="34" fillId="4" borderId="34" xfId="0" applyFont="1" applyFill="1" applyBorder="1" applyAlignment="1" applyProtection="1">
      <alignment horizontal="center" vertical="center"/>
    </xf>
    <xf numFmtId="0" fontId="35" fillId="4" borderId="35" xfId="0" applyFont="1" applyFill="1" applyBorder="1" applyAlignment="1" applyProtection="1">
      <alignment horizontal="center" vertical="center"/>
    </xf>
    <xf numFmtId="0" fontId="34" fillId="4" borderId="35" xfId="0" applyFont="1" applyFill="1" applyBorder="1" applyAlignment="1" applyProtection="1">
      <alignment horizontal="center" vertical="center"/>
    </xf>
    <xf numFmtId="0" fontId="36" fillId="4" borderId="35" xfId="0" applyFont="1" applyFill="1" applyBorder="1" applyAlignment="1" applyProtection="1">
      <alignment horizontal="center" vertical="center"/>
    </xf>
    <xf numFmtId="0" fontId="34" fillId="0" borderId="0" xfId="0" applyFont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38" fillId="0" borderId="0" xfId="0" applyFont="1" applyBorder="1" applyAlignment="1" applyProtection="1">
      <alignment horizontal="center" vertical="center"/>
    </xf>
    <xf numFmtId="0" fontId="3" fillId="9" borderId="12" xfId="0" applyFont="1" applyFill="1" applyBorder="1" applyAlignment="1" applyProtection="1">
      <alignment horizontal="center" vertical="center"/>
    </xf>
    <xf numFmtId="0" fontId="12" fillId="9" borderId="12" xfId="0" applyFont="1" applyFill="1" applyBorder="1" applyAlignment="1" applyProtection="1">
      <alignment horizontal="center" vertical="center"/>
    </xf>
    <xf numFmtId="0" fontId="41" fillId="10" borderId="0" xfId="0" applyFont="1" applyFill="1" applyBorder="1" applyAlignment="1" applyProtection="1">
      <alignment horizontal="center" vertical="center"/>
    </xf>
    <xf numFmtId="0" fontId="40" fillId="11" borderId="31" xfId="0" applyFont="1" applyFill="1" applyBorder="1" applyAlignment="1" applyProtection="1">
      <alignment vertical="center" wrapText="1"/>
    </xf>
    <xf numFmtId="0" fontId="45" fillId="11" borderId="31" xfId="0" applyFont="1" applyFill="1" applyBorder="1" applyAlignment="1" applyProtection="1">
      <alignment horizontal="center" vertical="center" wrapText="1"/>
    </xf>
    <xf numFmtId="0" fontId="8" fillId="9" borderId="11" xfId="0" applyFont="1" applyFill="1" applyBorder="1" applyAlignment="1" applyProtection="1">
      <alignment horizontal="center" vertical="center"/>
    </xf>
    <xf numFmtId="0" fontId="8" fillId="9" borderId="12" xfId="0" applyFont="1" applyFill="1" applyBorder="1" applyAlignment="1" applyProtection="1">
      <alignment horizontal="center" vertical="center"/>
    </xf>
    <xf numFmtId="0" fontId="3" fillId="9" borderId="12" xfId="0" applyFont="1" applyFill="1" applyBorder="1" applyAlignment="1" applyProtection="1">
      <alignment horizontal="center" vertical="center" wrapText="1"/>
    </xf>
    <xf numFmtId="0" fontId="12" fillId="9" borderId="12" xfId="0" applyFont="1" applyFill="1" applyBorder="1" applyAlignment="1" applyProtection="1">
      <alignment horizontal="center" vertical="center" wrapText="1"/>
    </xf>
    <xf numFmtId="0" fontId="11" fillId="10" borderId="2" xfId="0" applyFont="1" applyFill="1" applyBorder="1" applyAlignment="1" applyProtection="1">
      <alignment horizontal="center" vertical="center"/>
    </xf>
    <xf numFmtId="0" fontId="11" fillId="10" borderId="7" xfId="0" applyFont="1" applyFill="1" applyBorder="1" applyAlignment="1" applyProtection="1">
      <alignment horizontal="center" vertical="center"/>
    </xf>
    <xf numFmtId="0" fontId="5" fillId="10" borderId="4" xfId="0" quotePrefix="1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0" borderId="5" xfId="0" applyFont="1" applyFill="1" applyBorder="1" applyAlignment="1" applyProtection="1">
      <alignment horizontal="center" vertical="center"/>
    </xf>
    <xf numFmtId="0" fontId="4" fillId="9" borderId="12" xfId="0" quotePrefix="1" applyFont="1" applyFill="1" applyBorder="1" applyAlignment="1" applyProtection="1">
      <alignment horizontal="center" vertical="center"/>
    </xf>
    <xf numFmtId="0" fontId="4" fillId="9" borderId="10" xfId="0" quotePrefix="1" applyFont="1" applyFill="1" applyBorder="1" applyAlignment="1" applyProtection="1">
      <alignment horizontal="center" vertical="center"/>
    </xf>
    <xf numFmtId="0" fontId="24" fillId="3" borderId="46" xfId="0" applyFont="1" applyFill="1" applyBorder="1" applyAlignment="1" applyProtection="1">
      <alignment horizontal="center" vertical="center"/>
    </xf>
    <xf numFmtId="0" fontId="6" fillId="9" borderId="14" xfId="0" applyFont="1" applyFill="1" applyBorder="1" applyAlignment="1" applyProtection="1">
      <alignment horizontal="center" vertical="center"/>
    </xf>
    <xf numFmtId="0" fontId="40" fillId="9" borderId="14" xfId="0" applyFont="1" applyFill="1" applyBorder="1" applyAlignment="1" applyProtection="1">
      <alignment horizontal="center" vertical="center"/>
    </xf>
    <xf numFmtId="0" fontId="4" fillId="9" borderId="14" xfId="0" quotePrefix="1" applyFont="1" applyFill="1" applyBorder="1" applyAlignment="1" applyProtection="1">
      <alignment horizontal="center" vertical="center"/>
    </xf>
    <xf numFmtId="0" fontId="6" fillId="11" borderId="14" xfId="0" applyFont="1" applyFill="1" applyBorder="1" applyAlignment="1" applyProtection="1">
      <alignment horizontal="center" vertical="center"/>
    </xf>
    <xf numFmtId="0" fontId="45" fillId="11" borderId="14" xfId="0" applyFont="1" applyFill="1" applyBorder="1" applyAlignment="1" applyProtection="1">
      <alignment horizontal="center" vertical="center"/>
    </xf>
    <xf numFmtId="0" fontId="40" fillId="11" borderId="14" xfId="0" applyFont="1" applyFill="1" applyBorder="1" applyAlignment="1" applyProtection="1">
      <alignment horizontal="center" vertical="center"/>
    </xf>
    <xf numFmtId="0" fontId="42" fillId="11" borderId="14" xfId="0" applyFont="1" applyFill="1" applyBorder="1" applyAlignment="1" applyProtection="1">
      <alignment horizontal="center" vertical="center" wrapText="1"/>
    </xf>
    <xf numFmtId="0" fontId="6" fillId="11" borderId="14" xfId="0" applyFont="1" applyFill="1" applyBorder="1" applyAlignment="1" applyProtection="1">
      <alignment horizontal="center" vertical="center" wrapText="1"/>
    </xf>
    <xf numFmtId="0" fontId="6" fillId="9" borderId="14" xfId="0" applyFont="1" applyFill="1" applyBorder="1" applyAlignment="1" applyProtection="1">
      <alignment horizontal="center" vertical="center" wrapText="1"/>
    </xf>
    <xf numFmtId="0" fontId="23" fillId="0" borderId="0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vertical="center"/>
      <protection locked="0"/>
    </xf>
    <xf numFmtId="0" fontId="21" fillId="10" borderId="0" xfId="0" applyFont="1" applyFill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vertical="center"/>
    </xf>
    <xf numFmtId="0" fontId="11" fillId="0" borderId="0" xfId="0" applyFont="1" applyFill="1" applyBorder="1" applyAlignment="1" applyProtection="1">
      <alignment vertical="center"/>
    </xf>
    <xf numFmtId="0" fontId="39" fillId="0" borderId="0" xfId="0" applyFont="1" applyFill="1" applyBorder="1" applyAlignment="1" applyProtection="1">
      <alignment horizontal="center" vertical="center"/>
    </xf>
    <xf numFmtId="0" fontId="47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 wrapText="1"/>
    </xf>
    <xf numFmtId="0" fontId="40" fillId="0" borderId="0" xfId="0" applyFont="1" applyFill="1" applyBorder="1" applyAlignment="1" applyProtection="1">
      <alignment vertical="center" textRotation="180"/>
    </xf>
    <xf numFmtId="0" fontId="19" fillId="0" borderId="0" xfId="0" applyFont="1" applyFill="1" applyBorder="1" applyAlignment="1" applyProtection="1">
      <alignment vertical="center" textRotation="180"/>
    </xf>
    <xf numFmtId="0" fontId="15" fillId="3" borderId="20" xfId="0" applyFont="1" applyFill="1" applyBorder="1" applyAlignment="1" applyProtection="1">
      <alignment horizontal="center" vertical="center"/>
    </xf>
    <xf numFmtId="0" fontId="15" fillId="3" borderId="50" xfId="0" applyFont="1" applyFill="1" applyBorder="1" applyAlignment="1" applyProtection="1">
      <alignment horizontal="center" vertical="center"/>
    </xf>
    <xf numFmtId="0" fontId="39" fillId="0" borderId="0" xfId="0" applyFont="1" applyFill="1" applyBorder="1" applyAlignment="1" applyProtection="1">
      <alignment vertical="center"/>
    </xf>
    <xf numFmtId="0" fontId="8" fillId="3" borderId="46" xfId="0" applyFont="1" applyFill="1" applyBorder="1" applyAlignment="1" applyProtection="1">
      <alignment horizontal="center" vertical="center"/>
    </xf>
    <xf numFmtId="0" fontId="4" fillId="9" borderId="12" xfId="0" quotePrefix="1" applyFont="1" applyFill="1" applyBorder="1" applyAlignment="1" applyProtection="1">
      <alignment horizontal="center" vertical="center" wrapText="1"/>
    </xf>
    <xf numFmtId="0" fontId="45" fillId="11" borderId="18" xfId="0" applyFont="1" applyFill="1" applyBorder="1" applyAlignment="1" applyProtection="1">
      <alignment horizontal="center" vertical="center"/>
    </xf>
    <xf numFmtId="0" fontId="45" fillId="11" borderId="14" xfId="0" applyFont="1" applyFill="1" applyBorder="1" applyAlignment="1" applyProtection="1">
      <alignment horizontal="center" vertical="center" wrapText="1"/>
    </xf>
    <xf numFmtId="0" fontId="45" fillId="11" borderId="31" xfId="0" applyFont="1" applyFill="1" applyBorder="1" applyAlignment="1" applyProtection="1">
      <alignment vertical="center" wrapText="1"/>
    </xf>
    <xf numFmtId="0" fontId="45" fillId="11" borderId="14" xfId="0" quotePrefix="1" applyFont="1" applyFill="1" applyBorder="1" applyAlignment="1" applyProtection="1">
      <alignment vertical="center" wrapText="1"/>
    </xf>
    <xf numFmtId="0" fontId="34" fillId="4" borderId="36" xfId="0" applyFont="1" applyFill="1" applyBorder="1" applyAlignment="1" applyProtection="1">
      <alignment horizontal="center" vertical="center"/>
    </xf>
    <xf numFmtId="0" fontId="24" fillId="0" borderId="0" xfId="0" applyFont="1" applyFill="1" applyBorder="1" applyAlignment="1" applyProtection="1">
      <alignment horizontal="center" vertical="center"/>
    </xf>
    <xf numFmtId="0" fontId="8" fillId="9" borderId="12" xfId="0" applyFont="1" applyFill="1" applyBorder="1" applyAlignment="1" applyProtection="1">
      <alignment horizontal="center" vertical="center"/>
    </xf>
    <xf numFmtId="0" fontId="4" fillId="9" borderId="10" xfId="0" quotePrefix="1" applyFont="1" applyFill="1" applyBorder="1" applyAlignment="1" applyProtection="1">
      <alignment horizontal="center" vertical="center"/>
    </xf>
    <xf numFmtId="0" fontId="21" fillId="12" borderId="48" xfId="0" applyFont="1" applyFill="1" applyBorder="1" applyAlignment="1" applyProtection="1">
      <alignment horizontal="center" vertical="center"/>
      <protection locked="0"/>
    </xf>
    <xf numFmtId="0" fontId="46" fillId="12" borderId="49" xfId="0" applyFont="1" applyFill="1" applyBorder="1" applyAlignment="1" applyProtection="1">
      <alignment horizontal="center" vertical="center"/>
      <protection locked="0"/>
    </xf>
    <xf numFmtId="0" fontId="4" fillId="13" borderId="51" xfId="0" applyFont="1" applyFill="1" applyBorder="1" applyAlignment="1" applyProtection="1">
      <alignment horizontal="left" vertical="center"/>
      <protection locked="0"/>
    </xf>
    <xf numFmtId="0" fontId="23" fillId="9" borderId="11" xfId="0" applyFont="1" applyFill="1" applyBorder="1" applyAlignment="1" applyProtection="1">
      <alignment horizontal="center" vertical="center" wrapText="1"/>
      <protection locked="0"/>
    </xf>
    <xf numFmtId="0" fontId="19" fillId="9" borderId="23" xfId="0" applyFont="1" applyFill="1" applyBorder="1" applyAlignment="1" applyProtection="1">
      <alignment horizontal="center" vertical="center"/>
      <protection locked="0"/>
    </xf>
    <xf numFmtId="0" fontId="44" fillId="9" borderId="11" xfId="0" applyFont="1" applyFill="1" applyBorder="1" applyAlignment="1" applyProtection="1">
      <alignment horizontal="center" vertical="center"/>
      <protection locked="0"/>
    </xf>
    <xf numFmtId="0" fontId="43" fillId="9" borderId="27" xfId="0" applyFont="1" applyFill="1" applyBorder="1" applyAlignment="1" applyProtection="1">
      <alignment horizontal="center" vertical="center"/>
      <protection locked="0"/>
    </xf>
    <xf numFmtId="0" fontId="44" fillId="9" borderId="12" xfId="0" applyFont="1" applyFill="1" applyBorder="1" applyAlignment="1" applyProtection="1">
      <alignment horizontal="center" vertical="center"/>
      <protection locked="0"/>
    </xf>
    <xf numFmtId="0" fontId="43" fillId="9" borderId="29" xfId="0" applyFont="1" applyFill="1" applyBorder="1" applyAlignment="1" applyProtection="1">
      <alignment horizontal="center" vertical="center"/>
      <protection locked="0"/>
    </xf>
    <xf numFmtId="0" fontId="43" fillId="9" borderId="28" xfId="0" applyFont="1" applyFill="1" applyBorder="1" applyAlignment="1" applyProtection="1">
      <alignment horizontal="center" vertical="center"/>
      <protection locked="0"/>
    </xf>
    <xf numFmtId="0" fontId="43" fillId="9" borderId="27" xfId="0" applyFont="1" applyFill="1" applyBorder="1" applyAlignment="1" applyProtection="1">
      <protection locked="0"/>
    </xf>
    <xf numFmtId="0" fontId="43" fillId="9" borderId="28" xfId="0" applyFont="1" applyFill="1" applyBorder="1" applyAlignment="1" applyProtection="1">
      <protection locked="0"/>
    </xf>
    <xf numFmtId="0" fontId="43" fillId="9" borderId="29" xfId="0" applyFont="1" applyFill="1" applyBorder="1" applyAlignment="1" applyProtection="1">
      <protection locked="0"/>
    </xf>
    <xf numFmtId="0" fontId="19" fillId="9" borderId="27" xfId="0" applyFont="1" applyFill="1" applyBorder="1" applyAlignment="1" applyProtection="1">
      <alignment horizontal="center" vertical="center"/>
      <protection locked="0"/>
    </xf>
    <xf numFmtId="0" fontId="43" fillId="9" borderId="23" xfId="0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left" vertical="center"/>
    </xf>
    <xf numFmtId="0" fontId="12" fillId="0" borderId="4" xfId="0" applyFont="1" applyFill="1" applyBorder="1" applyAlignment="1" applyProtection="1">
      <alignment horizontal="center" vertical="center"/>
    </xf>
    <xf numFmtId="0" fontId="32" fillId="0" borderId="0" xfId="1" applyFont="1" applyFill="1" applyBorder="1" applyAlignment="1" applyProtection="1">
      <alignment horizontal="left" vertical="center" wrapText="1"/>
    </xf>
    <xf numFmtId="0" fontId="12" fillId="0" borderId="5" xfId="0" applyFont="1" applyFill="1" applyBorder="1" applyAlignment="1" applyProtection="1">
      <alignment horizontal="center" vertical="center"/>
    </xf>
    <xf numFmtId="0" fontId="9" fillId="0" borderId="0" xfId="1" applyFont="1" applyFill="1" applyBorder="1" applyAlignment="1" applyProtection="1">
      <alignment horizontal="left" vertical="center"/>
    </xf>
    <xf numFmtId="0" fontId="4" fillId="13" borderId="13" xfId="0" applyFont="1" applyFill="1" applyBorder="1" applyAlignment="1" applyProtection="1">
      <alignment horizontal="left" vertical="center"/>
      <protection locked="0"/>
    </xf>
    <xf numFmtId="0" fontId="4" fillId="13" borderId="23" xfId="0" applyFont="1" applyFill="1" applyBorder="1" applyAlignment="1" applyProtection="1">
      <alignment horizontal="left" vertical="center"/>
      <protection locked="0"/>
    </xf>
    <xf numFmtId="0" fontId="4" fillId="13" borderId="26" xfId="0" applyFont="1" applyFill="1" applyBorder="1" applyAlignment="1" applyProtection="1">
      <alignment horizontal="left" vertical="center"/>
      <protection locked="0"/>
    </xf>
    <xf numFmtId="0" fontId="4" fillId="13" borderId="0" xfId="0" applyFont="1" applyFill="1" applyBorder="1" applyAlignment="1" applyProtection="1">
      <alignment horizontal="left" vertical="center"/>
      <protection locked="0"/>
    </xf>
    <xf numFmtId="0" fontId="4" fillId="13" borderId="24" xfId="0" applyFont="1" applyFill="1" applyBorder="1" applyAlignment="1" applyProtection="1">
      <alignment horizontal="left" vertical="center"/>
      <protection locked="0"/>
    </xf>
    <xf numFmtId="0" fontId="4" fillId="13" borderId="15" xfId="0" applyFont="1" applyFill="1" applyBorder="1" applyAlignment="1" applyProtection="1">
      <alignment horizontal="left" vertical="center"/>
      <protection locked="0"/>
    </xf>
    <xf numFmtId="0" fontId="4" fillId="13" borderId="52" xfId="0" applyFont="1" applyFill="1" applyBorder="1" applyAlignment="1" applyProtection="1">
      <alignment horizontal="left" vertical="center"/>
      <protection locked="0"/>
    </xf>
    <xf numFmtId="0" fontId="4" fillId="13" borderId="14" xfId="0" applyFont="1" applyFill="1" applyBorder="1" applyAlignment="1" applyProtection="1">
      <alignment horizontal="left" vertical="center"/>
      <protection locked="0"/>
    </xf>
    <xf numFmtId="0" fontId="19" fillId="9" borderId="27" xfId="0" applyFont="1" applyFill="1" applyBorder="1" applyAlignment="1" applyProtection="1">
      <alignment vertical="center"/>
    </xf>
    <xf numFmtId="0" fontId="21" fillId="9" borderId="11" xfId="0" applyFont="1" applyFill="1" applyBorder="1" applyAlignment="1" applyProtection="1">
      <alignment horizontal="center" vertical="center"/>
      <protection locked="0"/>
    </xf>
    <xf numFmtId="0" fontId="4" fillId="9" borderId="12" xfId="0" quotePrefix="1" applyFont="1" applyFill="1" applyBorder="1" applyAlignment="1" applyProtection="1">
      <alignment horizontal="center" vertical="center"/>
    </xf>
    <xf numFmtId="0" fontId="19" fillId="9" borderId="23" xfId="0" applyFont="1" applyFill="1" applyBorder="1" applyAlignment="1" applyProtection="1">
      <alignment vertical="center" textRotation="180"/>
    </xf>
    <xf numFmtId="0" fontId="21" fillId="9" borderId="11" xfId="0" applyFont="1" applyFill="1" applyBorder="1" applyAlignment="1" applyProtection="1">
      <alignment horizontal="center" vertical="center"/>
    </xf>
    <xf numFmtId="0" fontId="9" fillId="0" borderId="0" xfId="0" applyFont="1"/>
    <xf numFmtId="0" fontId="48" fillId="0" borderId="0" xfId="0" applyFont="1"/>
    <xf numFmtId="0" fontId="49" fillId="0" borderId="0" xfId="0" applyFont="1"/>
    <xf numFmtId="0" fontId="49" fillId="14" borderId="0" xfId="0" applyFont="1" applyFill="1"/>
    <xf numFmtId="0" fontId="9" fillId="14" borderId="0" xfId="0" applyFont="1" applyFill="1"/>
    <xf numFmtId="0" fontId="9" fillId="15" borderId="0" xfId="0" applyFont="1" applyFill="1"/>
    <xf numFmtId="0" fontId="49" fillId="15" borderId="0" xfId="0" applyFont="1" applyFill="1"/>
    <xf numFmtId="0" fontId="9" fillId="15" borderId="0" xfId="0" quotePrefix="1" applyFont="1" applyFill="1" applyAlignment="1">
      <alignment horizontal="right"/>
    </xf>
    <xf numFmtId="0" fontId="9" fillId="15" borderId="0" xfId="0" applyFont="1" applyFill="1" applyAlignment="1">
      <alignment horizontal="right"/>
    </xf>
    <xf numFmtId="0" fontId="9" fillId="16" borderId="0" xfId="0" applyFont="1" applyFill="1"/>
    <xf numFmtId="0" fontId="49" fillId="16" borderId="0" xfId="0" applyFont="1" applyFill="1"/>
    <xf numFmtId="0" fontId="9" fillId="16" borderId="0" xfId="0" quotePrefix="1" applyFont="1" applyFill="1" applyAlignment="1">
      <alignment horizontal="right"/>
    </xf>
    <xf numFmtId="0" fontId="9" fillId="14" borderId="0" xfId="0" quotePrefix="1" applyFont="1" applyFill="1" applyAlignment="1">
      <alignment horizontal="right"/>
    </xf>
    <xf numFmtId="0" fontId="49" fillId="17" borderId="0" xfId="0" applyFont="1" applyFill="1"/>
    <xf numFmtId="0" fontId="9" fillId="17" borderId="0" xfId="0" applyFont="1" applyFill="1"/>
    <xf numFmtId="0" fontId="9" fillId="17" borderId="0" xfId="0" quotePrefix="1" applyFont="1" applyFill="1" applyAlignment="1">
      <alignment horizontal="right"/>
    </xf>
    <xf numFmtId="0" fontId="50" fillId="14" borderId="0" xfId="0" applyFont="1" applyFill="1"/>
    <xf numFmtId="0" fontId="9" fillId="0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9" fillId="17" borderId="0" xfId="0" quotePrefix="1" applyFont="1" applyFill="1"/>
    <xf numFmtId="0" fontId="9" fillId="18" borderId="26" xfId="0" applyFont="1" applyFill="1" applyBorder="1" applyAlignment="1">
      <alignment horizontal="center"/>
    </xf>
    <xf numFmtId="0" fontId="9" fillId="18" borderId="24" xfId="0" applyFont="1" applyFill="1" applyBorder="1" applyAlignment="1">
      <alignment horizontal="center"/>
    </xf>
    <xf numFmtId="0" fontId="9" fillId="18" borderId="15" xfId="0" applyFont="1" applyFill="1" applyBorder="1" applyAlignment="1">
      <alignment horizontal="center"/>
    </xf>
    <xf numFmtId="0" fontId="9" fillId="18" borderId="52" xfId="0" applyFont="1" applyFill="1" applyBorder="1" applyAlignment="1">
      <alignment horizontal="center"/>
    </xf>
    <xf numFmtId="0" fontId="9" fillId="18" borderId="14" xfId="0" applyFont="1" applyFill="1" applyBorder="1" applyAlignment="1">
      <alignment horizontal="center"/>
    </xf>
    <xf numFmtId="0" fontId="12" fillId="20" borderId="30" xfId="0" applyFont="1" applyFill="1" applyBorder="1" applyAlignment="1">
      <alignment horizontal="center"/>
    </xf>
    <xf numFmtId="0" fontId="12" fillId="20" borderId="56" xfId="0" applyFont="1" applyFill="1" applyBorder="1"/>
    <xf numFmtId="0" fontId="9" fillId="20" borderId="57" xfId="0" applyFont="1" applyFill="1" applyBorder="1"/>
    <xf numFmtId="0" fontId="9" fillId="20" borderId="58" xfId="0" applyFont="1" applyFill="1" applyBorder="1"/>
    <xf numFmtId="0" fontId="12" fillId="18" borderId="55" xfId="0" applyFont="1" applyFill="1" applyBorder="1" applyAlignment="1">
      <alignment horizontal="center"/>
    </xf>
    <xf numFmtId="0" fontId="12" fillId="18" borderId="33" xfId="0" applyFont="1" applyFill="1" applyBorder="1" applyAlignment="1">
      <alignment horizontal="center"/>
    </xf>
    <xf numFmtId="0" fontId="12" fillId="20" borderId="57" xfId="0" applyFont="1" applyFill="1" applyBorder="1" applyAlignment="1">
      <alignment horizontal="center"/>
    </xf>
    <xf numFmtId="0" fontId="49" fillId="21" borderId="0" xfId="2" applyFont="1" applyFill="1"/>
    <xf numFmtId="0" fontId="9" fillId="21" borderId="0" xfId="2" applyFont="1" applyFill="1"/>
    <xf numFmtId="0" fontId="9" fillId="21" borderId="0" xfId="0" applyFont="1" applyFill="1"/>
    <xf numFmtId="0" fontId="9" fillId="18" borderId="0" xfId="0" applyFont="1" applyFill="1" applyAlignment="1">
      <alignment horizontal="center"/>
    </xf>
    <xf numFmtId="0" fontId="12" fillId="20" borderId="51" xfId="2" applyFont="1" applyFill="1" applyBorder="1"/>
    <xf numFmtId="0" fontId="12" fillId="20" borderId="13" xfId="0" applyFont="1" applyFill="1" applyBorder="1"/>
    <xf numFmtId="0" fontId="12" fillId="20" borderId="23" xfId="0" applyFont="1" applyFill="1" applyBorder="1"/>
    <xf numFmtId="0" fontId="12" fillId="20" borderId="15" xfId="2" applyFont="1" applyFill="1" applyBorder="1"/>
    <xf numFmtId="0" fontId="12" fillId="20" borderId="52" xfId="0" applyFont="1" applyFill="1" applyBorder="1"/>
    <xf numFmtId="0" fontId="12" fillId="20" borderId="14" xfId="0" applyFont="1" applyFill="1" applyBorder="1"/>
    <xf numFmtId="0" fontId="9" fillId="17" borderId="0" xfId="2" applyFont="1" applyFill="1"/>
    <xf numFmtId="0" fontId="9" fillId="0" borderId="0" xfId="0" applyFont="1" applyFill="1"/>
    <xf numFmtId="0" fontId="9" fillId="0" borderId="0" xfId="2" applyFont="1" applyFill="1"/>
    <xf numFmtId="0" fontId="9" fillId="0" borderId="0" xfId="0" applyFont="1" applyFill="1" applyAlignment="1">
      <alignment horizontal="right"/>
    </xf>
    <xf numFmtId="0" fontId="51" fillId="19" borderId="51" xfId="0" applyFont="1" applyFill="1" applyBorder="1"/>
    <xf numFmtId="0" fontId="52" fillId="19" borderId="13" xfId="0" applyFont="1" applyFill="1" applyBorder="1"/>
    <xf numFmtId="0" fontId="51" fillId="19" borderId="13" xfId="0" applyFont="1" applyFill="1" applyBorder="1" applyAlignment="1">
      <alignment horizontal="center"/>
    </xf>
    <xf numFmtId="0" fontId="52" fillId="19" borderId="23" xfId="0" applyFont="1" applyFill="1" applyBorder="1"/>
    <xf numFmtId="0" fontId="51" fillId="19" borderId="15" xfId="0" applyFont="1" applyFill="1" applyBorder="1"/>
    <xf numFmtId="0" fontId="52" fillId="19" borderId="52" xfId="0" applyFont="1" applyFill="1" applyBorder="1"/>
    <xf numFmtId="0" fontId="51" fillId="19" borderId="52" xfId="0" applyFont="1" applyFill="1" applyBorder="1" applyAlignment="1">
      <alignment horizontal="center"/>
    </xf>
    <xf numFmtId="0" fontId="52" fillId="19" borderId="14" xfId="0" applyFont="1" applyFill="1" applyBorder="1"/>
    <xf numFmtId="0" fontId="9" fillId="17" borderId="0" xfId="0" applyFont="1" applyFill="1" applyAlignment="1">
      <alignment horizontal="right"/>
    </xf>
    <xf numFmtId="0" fontId="2" fillId="0" borderId="0" xfId="0" applyFont="1" applyAlignment="1">
      <alignment horizontal="right" indent="1"/>
    </xf>
    <xf numFmtId="0" fontId="2" fillId="0" borderId="0" xfId="0" applyFont="1" applyAlignment="1">
      <alignment horizontal="right"/>
    </xf>
    <xf numFmtId="0" fontId="9" fillId="21" borderId="0" xfId="0" quotePrefix="1" applyFont="1" applyFill="1" applyAlignment="1">
      <alignment horizontal="right"/>
    </xf>
    <xf numFmtId="0" fontId="9" fillId="21" borderId="0" xfId="0" applyFont="1" applyFill="1" applyAlignment="1">
      <alignment horizontal="right"/>
    </xf>
    <xf numFmtId="0" fontId="49" fillId="14" borderId="0" xfId="2" applyFont="1" applyFill="1"/>
    <xf numFmtId="0" fontId="9" fillId="14" borderId="0" xfId="2" applyFont="1" applyFill="1"/>
    <xf numFmtId="0" fontId="49" fillId="0" borderId="0" xfId="2" applyFont="1" applyFill="1"/>
    <xf numFmtId="0" fontId="12" fillId="15" borderId="0" xfId="0" applyFont="1" applyFill="1"/>
    <xf numFmtId="0" fontId="3" fillId="9" borderId="12" xfId="0" applyFont="1" applyFill="1" applyBorder="1" applyAlignment="1" applyProtection="1">
      <alignment horizontal="center" vertical="center" wrapText="1"/>
    </xf>
    <xf numFmtId="0" fontId="9" fillId="14" borderId="0" xfId="2" quotePrefix="1" applyFont="1" applyFill="1" applyAlignment="1">
      <alignment horizontal="right"/>
    </xf>
    <xf numFmtId="0" fontId="9" fillId="14" borderId="0" xfId="2" applyFont="1" applyFill="1" applyAlignment="1">
      <alignment horizontal="right"/>
    </xf>
    <xf numFmtId="0" fontId="32" fillId="14" borderId="0" xfId="1" applyFont="1" applyFill="1" applyAlignment="1" applyProtection="1"/>
    <xf numFmtId="0" fontId="4" fillId="0" borderId="0" xfId="0" applyFont="1"/>
    <xf numFmtId="0" fontId="0" fillId="22" borderId="0" xfId="0" applyFill="1"/>
    <xf numFmtId="0" fontId="0" fillId="23" borderId="0" xfId="0" applyFill="1"/>
    <xf numFmtId="0" fontId="12" fillId="0" borderId="44" xfId="0" applyFont="1" applyFill="1" applyBorder="1" applyAlignment="1" applyProtection="1">
      <alignment horizontal="center" vertical="center"/>
    </xf>
    <xf numFmtId="0" fontId="12" fillId="0" borderId="45" xfId="0" applyFont="1" applyFill="1" applyBorder="1" applyAlignment="1" applyProtection="1">
      <alignment horizontal="center" vertical="center"/>
    </xf>
    <xf numFmtId="0" fontId="7" fillId="5" borderId="0" xfId="0" applyFont="1" applyFill="1" applyBorder="1" applyAlignment="1" applyProtection="1">
      <alignment horizontal="center" vertical="center" textRotation="90"/>
    </xf>
    <xf numFmtId="0" fontId="5" fillId="3" borderId="24" xfId="0" applyFont="1" applyFill="1" applyBorder="1" applyAlignment="1" applyProtection="1">
      <alignment horizontal="center" vertical="center" textRotation="90"/>
    </xf>
    <xf numFmtId="0" fontId="9" fillId="9" borderId="12" xfId="0" applyFont="1" applyFill="1" applyBorder="1" applyAlignment="1" applyProtection="1">
      <alignment horizontal="center" vertical="center" wrapText="1"/>
    </xf>
    <xf numFmtId="0" fontId="9" fillId="9" borderId="12" xfId="0" applyFont="1" applyFill="1" applyBorder="1" applyAlignment="1" applyProtection="1">
      <alignment horizontal="center" vertical="center"/>
    </xf>
    <xf numFmtId="0" fontId="6" fillId="9" borderId="12" xfId="0" applyFont="1" applyFill="1" applyBorder="1" applyAlignment="1" applyProtection="1">
      <alignment horizontal="center" vertical="center" wrapText="1"/>
    </xf>
    <xf numFmtId="0" fontId="19" fillId="9" borderId="23" xfId="0" applyFont="1" applyFill="1" applyBorder="1" applyAlignment="1" applyProtection="1">
      <alignment horizontal="center" vertical="center" textRotation="180"/>
    </xf>
    <xf numFmtId="0" fontId="19" fillId="9" borderId="24" xfId="0" applyFont="1" applyFill="1" applyBorder="1" applyAlignment="1" applyProtection="1">
      <alignment horizontal="center" vertical="center" textRotation="180"/>
    </xf>
    <xf numFmtId="0" fontId="13" fillId="9" borderId="24" xfId="0" applyFont="1" applyFill="1" applyBorder="1" applyAlignment="1" applyProtection="1">
      <alignment horizontal="center" vertical="center" textRotation="180"/>
    </xf>
    <xf numFmtId="0" fontId="13" fillId="9" borderId="25" xfId="0" applyFont="1" applyFill="1" applyBorder="1" applyAlignment="1" applyProtection="1">
      <alignment horizontal="center" vertical="center" textRotation="180"/>
    </xf>
    <xf numFmtId="0" fontId="19" fillId="9" borderId="27" xfId="0" applyFont="1" applyFill="1" applyBorder="1" applyAlignment="1" applyProtection="1">
      <alignment horizontal="center" vertical="center" textRotation="180"/>
    </xf>
    <xf numFmtId="0" fontId="19" fillId="9" borderId="28" xfId="0" applyFont="1" applyFill="1" applyBorder="1" applyAlignment="1" applyProtection="1">
      <alignment horizontal="center" vertical="center" textRotation="180"/>
    </xf>
    <xf numFmtId="0" fontId="13" fillId="9" borderId="28" xfId="0" applyFont="1" applyFill="1" applyBorder="1" applyAlignment="1" applyProtection="1">
      <alignment horizontal="center" vertical="center" textRotation="180"/>
    </xf>
    <xf numFmtId="0" fontId="13" fillId="9" borderId="29" xfId="0" applyFont="1" applyFill="1" applyBorder="1" applyAlignment="1" applyProtection="1">
      <alignment horizontal="center" vertical="center" textRotation="180"/>
    </xf>
    <xf numFmtId="0" fontId="8" fillId="9" borderId="12" xfId="0" applyFont="1" applyFill="1" applyBorder="1" applyAlignment="1" applyProtection="1">
      <alignment horizontal="center" vertical="center" wrapText="1"/>
    </xf>
    <xf numFmtId="0" fontId="19" fillId="9" borderId="29" xfId="0" applyFont="1" applyFill="1" applyBorder="1" applyAlignment="1" applyProtection="1">
      <alignment horizontal="center" vertical="center" textRotation="180"/>
    </xf>
    <xf numFmtId="0" fontId="29" fillId="9" borderId="12" xfId="0" applyFont="1" applyFill="1" applyBorder="1" applyAlignment="1" applyProtection="1">
      <alignment horizontal="center" vertical="center" wrapText="1"/>
    </xf>
    <xf numFmtId="0" fontId="5" fillId="3" borderId="0" xfId="0" quotePrefix="1" applyFont="1" applyFill="1" applyBorder="1" applyAlignment="1" applyProtection="1">
      <alignment horizontal="center" vertical="center"/>
    </xf>
    <xf numFmtId="0" fontId="5" fillId="3" borderId="5" xfId="0" quotePrefix="1" applyFont="1" applyFill="1" applyBorder="1" applyAlignment="1" applyProtection="1">
      <alignment horizontal="center" vertical="center"/>
    </xf>
    <xf numFmtId="0" fontId="10" fillId="9" borderId="12" xfId="0" applyFont="1" applyFill="1" applyBorder="1" applyAlignment="1" applyProtection="1">
      <alignment horizontal="center" vertical="center" wrapText="1"/>
    </xf>
    <xf numFmtId="0" fontId="9" fillId="0" borderId="22" xfId="0" applyFont="1" applyFill="1" applyBorder="1" applyAlignment="1" applyProtection="1">
      <alignment horizontal="left" vertical="center" wrapText="1"/>
    </xf>
    <xf numFmtId="0" fontId="9" fillId="0" borderId="0" xfId="1" applyFont="1" applyAlignment="1" applyProtection="1"/>
    <xf numFmtId="0" fontId="5" fillId="10" borderId="24" xfId="0" applyFont="1" applyFill="1" applyBorder="1" applyAlignment="1" applyProtection="1">
      <alignment horizontal="center" vertical="center" textRotation="90"/>
    </xf>
    <xf numFmtId="0" fontId="16" fillId="9" borderId="24" xfId="0" applyFont="1" applyFill="1" applyBorder="1" applyAlignment="1" applyProtection="1">
      <alignment horizontal="center" vertical="center" textRotation="180"/>
    </xf>
    <xf numFmtId="0" fontId="16" fillId="9" borderId="25" xfId="0" applyFont="1" applyFill="1" applyBorder="1" applyAlignment="1" applyProtection="1">
      <alignment horizontal="center" vertical="center" textRotation="180"/>
    </xf>
    <xf numFmtId="0" fontId="8" fillId="9" borderId="11" xfId="0" applyFont="1" applyFill="1" applyBorder="1" applyAlignment="1" applyProtection="1">
      <alignment horizontal="center" vertical="center"/>
    </xf>
    <xf numFmtId="0" fontId="8" fillId="9" borderId="12" xfId="0" applyFont="1" applyFill="1" applyBorder="1" applyAlignment="1" applyProtection="1">
      <alignment horizontal="center" vertical="center"/>
    </xf>
    <xf numFmtId="0" fontId="3" fillId="0" borderId="7" xfId="0" applyFont="1" applyBorder="1" applyAlignment="1" applyProtection="1">
      <alignment horizontal="left" vertical="center" wrapText="1"/>
    </xf>
    <xf numFmtId="0" fontId="5" fillId="10" borderId="4" xfId="0" quotePrefix="1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0" borderId="5" xfId="0" applyFont="1" applyFill="1" applyBorder="1" applyAlignment="1" applyProtection="1">
      <alignment horizontal="center" vertical="center"/>
    </xf>
    <xf numFmtId="14" fontId="4" fillId="9" borderId="12" xfId="0" quotePrefix="1" applyNumberFormat="1" applyFont="1" applyFill="1" applyBorder="1" applyAlignment="1" applyProtection="1">
      <alignment horizontal="center" vertical="center"/>
    </xf>
    <xf numFmtId="14" fontId="4" fillId="9" borderId="10" xfId="0" quotePrefix="1" applyNumberFormat="1" applyFont="1" applyFill="1" applyBorder="1" applyAlignment="1" applyProtection="1">
      <alignment horizontal="center" vertical="center"/>
    </xf>
    <xf numFmtId="0" fontId="4" fillId="9" borderId="12" xfId="0" quotePrefix="1" applyFont="1" applyFill="1" applyBorder="1" applyAlignment="1" applyProtection="1">
      <alignment horizontal="center" vertical="center"/>
    </xf>
    <xf numFmtId="0" fontId="4" fillId="9" borderId="10" xfId="0" quotePrefix="1" applyFont="1" applyFill="1" applyBorder="1" applyAlignment="1" applyProtection="1">
      <alignment horizontal="center" vertical="center"/>
    </xf>
    <xf numFmtId="14" fontId="3" fillId="0" borderId="7" xfId="0" applyNumberFormat="1" applyFont="1" applyBorder="1" applyAlignment="1" applyProtection="1">
      <alignment horizontal="center" vertical="center" wrapText="1"/>
    </xf>
    <xf numFmtId="0" fontId="41" fillId="9" borderId="24" xfId="0" applyFont="1" applyFill="1" applyBorder="1" applyAlignment="1" applyProtection="1">
      <alignment horizontal="center" vertical="center" textRotation="180"/>
    </xf>
    <xf numFmtId="0" fontId="12" fillId="0" borderId="22" xfId="0" quotePrefix="1" applyFont="1" applyFill="1" applyBorder="1" applyAlignment="1" applyProtection="1">
      <alignment horizontal="center" vertical="top"/>
    </xf>
    <xf numFmtId="0" fontId="12" fillId="0" borderId="22" xfId="0" applyFont="1" applyFill="1" applyBorder="1" applyAlignment="1" applyProtection="1">
      <alignment horizontal="center" vertical="top"/>
    </xf>
    <xf numFmtId="0" fontId="37" fillId="3" borderId="34" xfId="0" applyFont="1" applyFill="1" applyBorder="1" applyAlignment="1" applyProtection="1">
      <alignment horizontal="center" vertical="center"/>
    </xf>
    <xf numFmtId="0" fontId="37" fillId="3" borderId="35" xfId="0" applyFont="1" applyFill="1" applyBorder="1" applyAlignment="1" applyProtection="1">
      <alignment horizontal="center" vertical="center"/>
    </xf>
    <xf numFmtId="0" fontId="37" fillId="3" borderId="36" xfId="0" applyFont="1" applyFill="1" applyBorder="1" applyAlignment="1" applyProtection="1">
      <alignment horizontal="center" vertical="center"/>
    </xf>
    <xf numFmtId="0" fontId="12" fillId="0" borderId="41" xfId="0" quotePrefix="1" applyFont="1" applyBorder="1" applyAlignment="1" applyProtection="1">
      <alignment horizontal="center" vertical="top"/>
    </xf>
    <xf numFmtId="0" fontId="12" fillId="0" borderId="37" xfId="0" applyFont="1" applyBorder="1" applyAlignment="1" applyProtection="1">
      <alignment horizontal="center" vertical="top"/>
    </xf>
    <xf numFmtId="0" fontId="12" fillId="0" borderId="42" xfId="0" quotePrefix="1" applyFont="1" applyFill="1" applyBorder="1" applyAlignment="1" applyProtection="1">
      <alignment horizontal="center" vertical="top"/>
    </xf>
    <xf numFmtId="0" fontId="9" fillId="0" borderId="0" xfId="0" applyFont="1" applyBorder="1" applyAlignment="1" applyProtection="1">
      <alignment horizontal="left" vertical="center" wrapText="1"/>
    </xf>
    <xf numFmtId="0" fontId="12" fillId="0" borderId="37" xfId="0" quotePrefix="1" applyFont="1" applyFill="1" applyBorder="1" applyAlignment="1" applyProtection="1">
      <alignment horizontal="center" vertical="top"/>
    </xf>
    <xf numFmtId="0" fontId="12" fillId="0" borderId="37" xfId="0" applyFont="1" applyFill="1" applyBorder="1" applyAlignment="1" applyProtection="1">
      <alignment horizontal="center" vertical="top"/>
    </xf>
    <xf numFmtId="0" fontId="31" fillId="0" borderId="37" xfId="1" applyFont="1" applyBorder="1" applyAlignment="1" applyProtection="1"/>
    <xf numFmtId="0" fontId="8" fillId="0" borderId="0" xfId="0" applyFont="1" applyBorder="1" applyAlignment="1" applyProtection="1">
      <alignment horizontal="center" vertical="center" wrapText="1"/>
    </xf>
    <xf numFmtId="0" fontId="12" fillId="0" borderId="4" xfId="0" quotePrefix="1" applyFont="1" applyFill="1" applyBorder="1" applyAlignment="1" applyProtection="1">
      <alignment horizontal="right" vertical="top"/>
    </xf>
    <xf numFmtId="0" fontId="12" fillId="0" borderId="0" xfId="0" applyFont="1" applyFill="1" applyBorder="1" applyAlignment="1" applyProtection="1">
      <alignment horizontal="right" vertical="top"/>
    </xf>
    <xf numFmtId="0" fontId="9" fillId="0" borderId="37" xfId="0" applyFont="1" applyBorder="1" applyAlignment="1" applyProtection="1">
      <alignment horizontal="left" vertical="center" wrapText="1"/>
    </xf>
    <xf numFmtId="0" fontId="9" fillId="0" borderId="7" xfId="0" applyFont="1" applyBorder="1" applyAlignment="1" applyProtection="1">
      <alignment horizontal="left" vertical="center" wrapText="1"/>
    </xf>
    <xf numFmtId="0" fontId="9" fillId="0" borderId="8" xfId="0" applyFont="1" applyBorder="1" applyAlignment="1" applyProtection="1">
      <alignment horizontal="left" vertical="center" wrapText="1"/>
    </xf>
    <xf numFmtId="0" fontId="12" fillId="0" borderId="43" xfId="0" quotePrefix="1" applyFont="1" applyFill="1" applyBorder="1" applyAlignment="1" applyProtection="1">
      <alignment horizontal="right" vertical="top"/>
    </xf>
    <xf numFmtId="0" fontId="12" fillId="0" borderId="21" xfId="0" applyFont="1" applyFill="1" applyBorder="1" applyAlignment="1" applyProtection="1">
      <alignment horizontal="right" vertical="top"/>
    </xf>
    <xf numFmtId="0" fontId="12" fillId="0" borderId="4" xfId="0" quotePrefix="1" applyFont="1" applyFill="1" applyBorder="1" applyAlignment="1" applyProtection="1">
      <alignment horizontal="center" vertical="top"/>
    </xf>
    <xf numFmtId="0" fontId="12" fillId="0" borderId="0" xfId="0" applyFont="1" applyFill="1" applyBorder="1" applyAlignment="1" applyProtection="1">
      <alignment horizontal="center" vertical="top"/>
    </xf>
    <xf numFmtId="0" fontId="32" fillId="0" borderId="22" xfId="1" applyFont="1" applyFill="1" applyBorder="1" applyAlignment="1" applyProtection="1">
      <alignment horizontal="left" vertical="center" wrapText="1"/>
    </xf>
    <xf numFmtId="0" fontId="4" fillId="0" borderId="0" xfId="0" applyFont="1" applyBorder="1" applyAlignment="1" applyProtection="1">
      <alignment horizontal="center" vertical="center" wrapText="1"/>
    </xf>
    <xf numFmtId="0" fontId="12" fillId="0" borderId="21" xfId="0" quotePrefix="1" applyFont="1" applyFill="1" applyBorder="1" applyAlignment="1" applyProtection="1">
      <alignment horizontal="center" vertical="top"/>
    </xf>
    <xf numFmtId="0" fontId="12" fillId="0" borderId="21" xfId="0" applyFont="1" applyFill="1" applyBorder="1" applyAlignment="1" applyProtection="1">
      <alignment horizontal="center" vertical="top"/>
    </xf>
    <xf numFmtId="0" fontId="12" fillId="0" borderId="32" xfId="0" quotePrefix="1" applyFont="1" applyFill="1" applyBorder="1" applyAlignment="1" applyProtection="1">
      <alignment horizontal="center" vertical="top"/>
    </xf>
    <xf numFmtId="0" fontId="12" fillId="0" borderId="32" xfId="0" applyFont="1" applyFill="1" applyBorder="1" applyAlignment="1" applyProtection="1">
      <alignment horizontal="center" vertical="top"/>
    </xf>
    <xf numFmtId="0" fontId="21" fillId="0" borderId="32" xfId="0" applyFont="1" applyFill="1" applyBorder="1" applyAlignment="1" applyProtection="1">
      <alignment horizontal="left" vertical="center" wrapText="1"/>
    </xf>
    <xf numFmtId="0" fontId="9" fillId="9" borderId="26" xfId="0" applyFont="1" applyFill="1" applyBorder="1" applyAlignment="1" applyProtection="1">
      <alignment horizontal="center" vertical="center" wrapText="1"/>
    </xf>
    <xf numFmtId="0" fontId="9" fillId="9" borderId="26" xfId="0" applyFont="1" applyFill="1" applyBorder="1" applyAlignment="1" applyProtection="1">
      <alignment horizontal="center" vertical="center"/>
    </xf>
    <xf numFmtId="0" fontId="2" fillId="9" borderId="12" xfId="0" applyFont="1" applyFill="1" applyBorder="1" applyAlignment="1" applyProtection="1">
      <alignment horizontal="center" vertical="center" wrapText="1"/>
    </xf>
    <xf numFmtId="0" fontId="12" fillId="9" borderId="12" xfId="0" applyFont="1" applyFill="1" applyBorder="1" applyAlignment="1" applyProtection="1">
      <alignment horizontal="center" vertical="center" wrapText="1"/>
    </xf>
    <xf numFmtId="0" fontId="5" fillId="10" borderId="0" xfId="0" quotePrefix="1" applyFont="1" applyFill="1" applyBorder="1" applyAlignment="1" applyProtection="1">
      <alignment horizontal="center" vertical="center"/>
    </xf>
    <xf numFmtId="0" fontId="5" fillId="10" borderId="5" xfId="0" quotePrefix="1" applyFont="1" applyFill="1" applyBorder="1" applyAlignment="1" applyProtection="1">
      <alignment horizontal="center" vertical="center"/>
    </xf>
    <xf numFmtId="0" fontId="5" fillId="3" borderId="7" xfId="0" quotePrefix="1" applyFont="1" applyFill="1" applyBorder="1" applyAlignment="1" applyProtection="1">
      <alignment horizontal="center" vertical="center"/>
    </xf>
    <xf numFmtId="0" fontId="5" fillId="3" borderId="8" xfId="0" quotePrefix="1" applyFont="1" applyFill="1" applyBorder="1" applyAlignment="1" applyProtection="1">
      <alignment horizontal="center" vertical="center"/>
    </xf>
    <xf numFmtId="0" fontId="24" fillId="2" borderId="30" xfId="0" applyFont="1" applyFill="1" applyBorder="1" applyAlignment="1" applyProtection="1">
      <alignment horizontal="center" vertical="center"/>
    </xf>
    <xf numFmtId="0" fontId="27" fillId="6" borderId="30" xfId="0" applyFont="1" applyFill="1" applyBorder="1" applyAlignment="1" applyProtection="1">
      <alignment horizontal="center" vertical="center" wrapText="1"/>
    </xf>
    <xf numFmtId="0" fontId="24" fillId="8" borderId="30" xfId="0" applyFont="1" applyFill="1" applyBorder="1" applyAlignment="1" applyProtection="1">
      <alignment horizontal="left" vertical="center" wrapText="1"/>
    </xf>
    <xf numFmtId="0" fontId="22" fillId="5" borderId="33" xfId="0" applyFont="1" applyFill="1" applyBorder="1" applyAlignment="1" applyProtection="1">
      <alignment horizontal="center" vertical="center" wrapText="1"/>
    </xf>
    <xf numFmtId="0" fontId="12" fillId="0" borderId="6" xfId="0" quotePrefix="1" applyFont="1" applyFill="1" applyBorder="1" applyAlignment="1" applyProtection="1">
      <alignment horizontal="right" vertical="top"/>
    </xf>
    <xf numFmtId="0" fontId="12" fillId="0" borderId="7" xfId="0" quotePrefix="1" applyFont="1" applyFill="1" applyBorder="1" applyAlignment="1" applyProtection="1">
      <alignment horizontal="right" vertical="top"/>
    </xf>
    <xf numFmtId="0" fontId="9" fillId="0" borderId="22" xfId="1" applyFont="1" applyFill="1" applyBorder="1" applyAlignment="1" applyProtection="1">
      <alignment horizontal="left" vertical="center" wrapText="1"/>
    </xf>
    <xf numFmtId="0" fontId="9" fillId="0" borderId="39" xfId="1" applyFont="1" applyFill="1" applyBorder="1" applyAlignment="1" applyProtection="1">
      <alignment horizontal="left" vertical="center" wrapText="1"/>
    </xf>
    <xf numFmtId="0" fontId="9" fillId="0" borderId="21" xfId="0" applyFont="1" applyBorder="1" applyAlignment="1" applyProtection="1">
      <alignment horizontal="left" vertical="center" wrapText="1"/>
    </xf>
    <xf numFmtId="0" fontId="37" fillId="3" borderId="1" xfId="0" applyFont="1" applyFill="1" applyBorder="1" applyAlignment="1" applyProtection="1">
      <alignment horizontal="center" vertical="center"/>
    </xf>
    <xf numFmtId="0" fontId="37" fillId="3" borderId="2" xfId="0" applyFont="1" applyFill="1" applyBorder="1" applyAlignment="1" applyProtection="1">
      <alignment horizontal="center" vertical="center"/>
    </xf>
    <xf numFmtId="0" fontId="37" fillId="3" borderId="3" xfId="0" applyFont="1" applyFill="1" applyBorder="1" applyAlignment="1" applyProtection="1">
      <alignment horizontal="center" vertical="center"/>
    </xf>
    <xf numFmtId="0" fontId="27" fillId="7" borderId="30" xfId="0" applyFont="1" applyFill="1" applyBorder="1" applyAlignment="1" applyProtection="1">
      <alignment horizontal="center" vertical="center" wrapText="1"/>
    </xf>
    <xf numFmtId="0" fontId="9" fillId="0" borderId="37" xfId="0" applyFont="1" applyFill="1" applyBorder="1" applyAlignment="1" applyProtection="1">
      <alignment horizontal="left" vertical="center" wrapText="1"/>
    </xf>
    <xf numFmtId="0" fontId="9" fillId="0" borderId="38" xfId="0" applyFont="1" applyFill="1" applyBorder="1" applyAlignment="1" applyProtection="1">
      <alignment horizontal="left" vertical="center" wrapText="1"/>
    </xf>
    <xf numFmtId="0" fontId="9" fillId="0" borderId="0" xfId="0" applyFont="1" applyBorder="1" applyAlignment="1" applyProtection="1">
      <alignment horizontal="left" wrapText="1"/>
    </xf>
    <xf numFmtId="0" fontId="12" fillId="0" borderId="7" xfId="0" applyFont="1" applyBorder="1" applyAlignment="1" applyProtection="1">
      <alignment horizontal="left" vertical="center" wrapText="1"/>
    </xf>
    <xf numFmtId="0" fontId="1" fillId="0" borderId="0" xfId="1" applyBorder="1" applyAlignment="1" applyProtection="1">
      <alignment horizontal="center" vertical="center"/>
    </xf>
    <xf numFmtId="0" fontId="3" fillId="9" borderId="12" xfId="0" applyFont="1" applyFill="1" applyBorder="1" applyAlignment="1" applyProtection="1">
      <alignment horizontal="center" vertical="center" wrapText="1"/>
    </xf>
    <xf numFmtId="0" fontId="3" fillId="9" borderId="12" xfId="0" applyFont="1" applyFill="1" applyBorder="1" applyAlignment="1" applyProtection="1">
      <alignment horizontal="center" vertical="center"/>
    </xf>
    <xf numFmtId="0" fontId="10" fillId="9" borderId="53" xfId="0" quotePrefix="1" applyFont="1" applyFill="1" applyBorder="1" applyAlignment="1" applyProtection="1">
      <alignment horizontal="center" vertical="center" wrapText="1"/>
    </xf>
    <xf numFmtId="0" fontId="10" fillId="9" borderId="54" xfId="0" quotePrefix="1" applyFont="1" applyFill="1" applyBorder="1" applyAlignment="1" applyProtection="1">
      <alignment horizontal="center" vertical="center" wrapText="1"/>
    </xf>
    <xf numFmtId="0" fontId="9" fillId="0" borderId="32" xfId="0" applyFont="1" applyFill="1" applyBorder="1" applyAlignment="1" applyProtection="1">
      <alignment horizontal="left" vertical="center" wrapText="1"/>
    </xf>
    <xf numFmtId="0" fontId="41" fillId="9" borderId="28" xfId="0" applyFont="1" applyFill="1" applyBorder="1" applyAlignment="1" applyProtection="1">
      <alignment horizontal="center" vertical="center" textRotation="180"/>
    </xf>
    <xf numFmtId="0" fontId="41" fillId="9" borderId="29" xfId="0" applyFont="1" applyFill="1" applyBorder="1" applyAlignment="1" applyProtection="1">
      <alignment horizontal="center" vertical="center" textRotation="180"/>
    </xf>
    <xf numFmtId="0" fontId="2" fillId="9" borderId="12" xfId="0" applyFont="1" applyFill="1" applyBorder="1" applyAlignment="1" applyProtection="1">
      <alignment horizontal="center" vertical="center"/>
    </xf>
    <xf numFmtId="0" fontId="32" fillId="0" borderId="35" xfId="1" applyFont="1" applyBorder="1" applyAlignment="1" applyProtection="1">
      <alignment horizontal="left" vertical="top" wrapText="1"/>
    </xf>
    <xf numFmtId="0" fontId="32" fillId="0" borderId="36" xfId="1" applyFont="1" applyBorder="1" applyAlignment="1" applyProtection="1">
      <alignment horizontal="left" vertical="top" wrapText="1"/>
    </xf>
    <xf numFmtId="0" fontId="8" fillId="8" borderId="30" xfId="0" applyFont="1" applyFill="1" applyBorder="1" applyAlignment="1" applyProtection="1">
      <alignment horizontal="left" vertical="center" wrapText="1"/>
    </xf>
    <xf numFmtId="0" fontId="16" fillId="9" borderId="28" xfId="0" applyFont="1" applyFill="1" applyBorder="1" applyAlignment="1" applyProtection="1">
      <alignment horizontal="center" vertical="center" textRotation="180"/>
    </xf>
    <xf numFmtId="0" fontId="16" fillId="9" borderId="47" xfId="0" applyFont="1" applyFill="1" applyBorder="1" applyAlignment="1" applyProtection="1">
      <alignment horizontal="center" vertical="center" textRotation="180"/>
    </xf>
    <xf numFmtId="0" fontId="39" fillId="9" borderId="12" xfId="0" applyFont="1" applyFill="1" applyBorder="1" applyAlignment="1" applyProtection="1">
      <alignment horizontal="center" vertical="center" wrapText="1"/>
    </xf>
    <xf numFmtId="0" fontId="39" fillId="9" borderId="10" xfId="0" applyFont="1" applyFill="1" applyBorder="1" applyAlignment="1" applyProtection="1">
      <alignment horizontal="center" vertical="center" wrapText="1"/>
    </xf>
    <xf numFmtId="0" fontId="12" fillId="0" borderId="59" xfId="0" applyFont="1" applyFill="1" applyBorder="1" applyAlignment="1" applyProtection="1">
      <alignment horizontal="left" vertical="center" wrapText="1"/>
    </xf>
    <xf numFmtId="0" fontId="12" fillId="0" borderId="60" xfId="0" applyFont="1" applyFill="1" applyBorder="1" applyAlignment="1" applyProtection="1">
      <alignment horizontal="left" vertical="center" wrapText="1"/>
    </xf>
    <xf numFmtId="0" fontId="19" fillId="9" borderId="47" xfId="0" applyFont="1" applyFill="1" applyBorder="1" applyAlignment="1" applyProtection="1">
      <alignment horizontal="center" vertical="center" textRotation="180"/>
    </xf>
    <xf numFmtId="0" fontId="5" fillId="10" borderId="1" xfId="0" applyFont="1" applyFill="1" applyBorder="1" applyAlignment="1" applyProtection="1">
      <alignment horizontal="center" vertical="center"/>
    </xf>
    <xf numFmtId="0" fontId="5" fillId="10" borderId="2" xfId="0" applyFont="1" applyFill="1" applyBorder="1" applyAlignment="1" applyProtection="1">
      <alignment horizontal="center" vertical="center"/>
    </xf>
    <xf numFmtId="0" fontId="5" fillId="10" borderId="3" xfId="0" applyFont="1" applyFill="1" applyBorder="1" applyAlignment="1" applyProtection="1">
      <alignment horizontal="center" vertical="center"/>
    </xf>
    <xf numFmtId="0" fontId="5" fillId="10" borderId="6" xfId="0" applyFont="1" applyFill="1" applyBorder="1" applyAlignment="1" applyProtection="1">
      <alignment horizontal="center" vertical="center"/>
    </xf>
    <xf numFmtId="0" fontId="5" fillId="10" borderId="7" xfId="0" applyFont="1" applyFill="1" applyBorder="1" applyAlignment="1" applyProtection="1">
      <alignment horizontal="center" vertical="center"/>
    </xf>
    <xf numFmtId="0" fontId="5" fillId="10" borderId="8" xfId="0" applyFont="1" applyFill="1" applyBorder="1" applyAlignment="1" applyProtection="1">
      <alignment horizontal="center" vertical="center"/>
    </xf>
    <xf numFmtId="0" fontId="30" fillId="9" borderId="11" xfId="0" applyFont="1" applyFill="1" applyBorder="1" applyAlignment="1" applyProtection="1">
      <alignment horizontal="center" vertical="center"/>
    </xf>
    <xf numFmtId="0" fontId="30" fillId="9" borderId="12" xfId="0" applyFont="1" applyFill="1" applyBorder="1" applyAlignment="1" applyProtection="1">
      <alignment horizontal="center" vertical="center"/>
    </xf>
    <xf numFmtId="0" fontId="23" fillId="15" borderId="24" xfId="0" applyFont="1" applyFill="1" applyBorder="1" applyAlignment="1">
      <alignment horizontal="center" vertical="center" textRotation="90" wrapText="1"/>
    </xf>
  </cellXfs>
  <cellStyles count="3">
    <cellStyle name="Hyperlink" xfId="1" builtinId="8"/>
    <cellStyle name="Normal" xfId="0" builtinId="0"/>
    <cellStyle name="Normal 2" xfId="2" xr:uid="{E47D9866-68F4-4DC4-BE08-3FC10230FAA6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DDDDDD"/>
      <rgbColor rgb="00C0C0C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33"/>
      <color rgb="FFFFFF99"/>
      <color rgb="FFFFFFD9"/>
      <color rgb="FFF7EAE9"/>
      <color rgb="FF000066"/>
      <color rgb="FF0000FF"/>
      <color rgb="FFFFFFCC"/>
      <color rgb="FF000099"/>
      <color rgb="FFCCECFF"/>
      <color rgb="FFE1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3</xdr:row>
      <xdr:rowOff>0</xdr:rowOff>
    </xdr:from>
    <xdr:to>
      <xdr:col>4</xdr:col>
      <xdr:colOff>1</xdr:colOff>
      <xdr:row>8</xdr:row>
      <xdr:rowOff>0</xdr:rowOff>
    </xdr:to>
    <xdr:sp macro="[0]!Macro1" textlink="">
      <xdr:nvSpPr>
        <xdr:cNvPr id="40" name="Text Box 1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>
          <a:spLocks noChangeArrowheads="1"/>
        </xdr:cNvSpPr>
      </xdr:nvSpPr>
      <xdr:spPr bwMode="auto">
        <a:xfrm>
          <a:off x="400051" y="457200"/>
          <a:ext cx="990600" cy="695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6</xdr:col>
      <xdr:colOff>1</xdr:colOff>
      <xdr:row>3</xdr:row>
      <xdr:rowOff>0</xdr:rowOff>
    </xdr:from>
    <xdr:to>
      <xdr:col>7</xdr:col>
      <xdr:colOff>0</xdr:colOff>
      <xdr:row>8</xdr:row>
      <xdr:rowOff>0</xdr:rowOff>
    </xdr:to>
    <xdr:sp macro="[0]!Macro2" textlink="">
      <xdr:nvSpPr>
        <xdr:cNvPr id="41" name="Text Box 2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>
          <a:spLocks noChangeArrowheads="1"/>
        </xdr:cNvSpPr>
      </xdr:nvSpPr>
      <xdr:spPr bwMode="auto">
        <a:xfrm>
          <a:off x="1571626" y="457200"/>
          <a:ext cx="885824" cy="695325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9</xdr:col>
      <xdr:colOff>1</xdr:colOff>
      <xdr:row>3</xdr:row>
      <xdr:rowOff>0</xdr:rowOff>
    </xdr:from>
    <xdr:to>
      <xdr:col>10</xdr:col>
      <xdr:colOff>1</xdr:colOff>
      <xdr:row>7</xdr:row>
      <xdr:rowOff>142874</xdr:rowOff>
    </xdr:to>
    <xdr:sp macro="[0]!Macro3" textlink="">
      <xdr:nvSpPr>
        <xdr:cNvPr id="42" name="Text Box 3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>
          <a:spLocks noChangeArrowheads="1"/>
        </xdr:cNvSpPr>
      </xdr:nvSpPr>
      <xdr:spPr bwMode="auto">
        <a:xfrm>
          <a:off x="2638426" y="457200"/>
          <a:ext cx="952500" cy="695324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2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12</xdr:col>
      <xdr:colOff>1</xdr:colOff>
      <xdr:row>3</xdr:row>
      <xdr:rowOff>0</xdr:rowOff>
    </xdr:from>
    <xdr:to>
      <xdr:col>13</xdr:col>
      <xdr:colOff>1</xdr:colOff>
      <xdr:row>8</xdr:row>
      <xdr:rowOff>0</xdr:rowOff>
    </xdr:to>
    <xdr:sp macro="[0]!Macro4" textlink="">
      <xdr:nvSpPr>
        <xdr:cNvPr id="43" name="Text Box 4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>
          <a:spLocks noChangeArrowheads="1"/>
        </xdr:cNvSpPr>
      </xdr:nvSpPr>
      <xdr:spPr bwMode="auto">
        <a:xfrm>
          <a:off x="3771901" y="457200"/>
          <a:ext cx="895350" cy="695325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15</xdr:col>
      <xdr:colOff>1</xdr:colOff>
      <xdr:row>3</xdr:row>
      <xdr:rowOff>0</xdr:rowOff>
    </xdr:from>
    <xdr:to>
      <xdr:col>16</xdr:col>
      <xdr:colOff>0</xdr:colOff>
      <xdr:row>8</xdr:row>
      <xdr:rowOff>0</xdr:rowOff>
    </xdr:to>
    <xdr:sp macro="[0]!Macro5" textlink="">
      <xdr:nvSpPr>
        <xdr:cNvPr id="44" name="Text Box 5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>
          <a:spLocks noChangeArrowheads="1"/>
        </xdr:cNvSpPr>
      </xdr:nvSpPr>
      <xdr:spPr bwMode="auto">
        <a:xfrm>
          <a:off x="4848226" y="457200"/>
          <a:ext cx="885824" cy="695325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15</xdr:col>
      <xdr:colOff>1</xdr:colOff>
      <xdr:row>10</xdr:row>
      <xdr:rowOff>0</xdr:rowOff>
    </xdr:from>
    <xdr:to>
      <xdr:col>16</xdr:col>
      <xdr:colOff>0</xdr:colOff>
      <xdr:row>15</xdr:row>
      <xdr:rowOff>0</xdr:rowOff>
    </xdr:to>
    <xdr:sp macro="[0]!Macro10" textlink="">
      <xdr:nvSpPr>
        <xdr:cNvPr id="49" name="Text Box 10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>
          <a:spLocks noChangeArrowheads="1"/>
        </xdr:cNvSpPr>
      </xdr:nvSpPr>
      <xdr:spPr bwMode="auto">
        <a:xfrm>
          <a:off x="4848226" y="1352550"/>
          <a:ext cx="885824" cy="68580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3</xdr:col>
      <xdr:colOff>0</xdr:colOff>
      <xdr:row>17</xdr:row>
      <xdr:rowOff>114299</xdr:rowOff>
    </xdr:from>
    <xdr:to>
      <xdr:col>4</xdr:col>
      <xdr:colOff>1</xdr:colOff>
      <xdr:row>24</xdr:row>
      <xdr:rowOff>142874</xdr:rowOff>
    </xdr:to>
    <xdr:sp macro="[0]!Macro11" textlink="">
      <xdr:nvSpPr>
        <xdr:cNvPr id="50" name="Text Box 11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>
          <a:spLocks noChangeArrowheads="1"/>
        </xdr:cNvSpPr>
      </xdr:nvSpPr>
      <xdr:spPr bwMode="auto">
        <a:xfrm>
          <a:off x="400050" y="2228849"/>
          <a:ext cx="990601" cy="962025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2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9</xdr:col>
      <xdr:colOff>1</xdr:colOff>
      <xdr:row>18</xdr:row>
      <xdr:rowOff>0</xdr:rowOff>
    </xdr:from>
    <xdr:to>
      <xdr:col>10</xdr:col>
      <xdr:colOff>1</xdr:colOff>
      <xdr:row>25</xdr:row>
      <xdr:rowOff>0</xdr:rowOff>
    </xdr:to>
    <xdr:sp macro="[0]!Macro13" textlink="">
      <xdr:nvSpPr>
        <xdr:cNvPr id="52" name="Text Box 13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 txBox="1">
          <a:spLocks noChangeArrowheads="1"/>
        </xdr:cNvSpPr>
      </xdr:nvSpPr>
      <xdr:spPr bwMode="auto">
        <a:xfrm>
          <a:off x="2638426" y="2228850"/>
          <a:ext cx="952500" cy="962025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8</xdr:col>
      <xdr:colOff>57149</xdr:colOff>
      <xdr:row>27</xdr:row>
      <xdr:rowOff>1</xdr:rowOff>
    </xdr:from>
    <xdr:to>
      <xdr:col>10</xdr:col>
      <xdr:colOff>0</xdr:colOff>
      <xdr:row>34</xdr:row>
      <xdr:rowOff>1</xdr:rowOff>
    </xdr:to>
    <xdr:sp macro="[0]!Macro18" textlink="">
      <xdr:nvSpPr>
        <xdr:cNvPr id="57" name="Text Box 18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 txBox="1">
          <a:spLocks noChangeArrowheads="1"/>
        </xdr:cNvSpPr>
      </xdr:nvSpPr>
      <xdr:spPr bwMode="auto">
        <a:xfrm>
          <a:off x="2638424" y="3343276"/>
          <a:ext cx="952501" cy="95250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11</xdr:col>
      <xdr:colOff>57149</xdr:colOff>
      <xdr:row>28</xdr:row>
      <xdr:rowOff>0</xdr:rowOff>
    </xdr:from>
    <xdr:to>
      <xdr:col>13</xdr:col>
      <xdr:colOff>0</xdr:colOff>
      <xdr:row>34</xdr:row>
      <xdr:rowOff>0</xdr:rowOff>
    </xdr:to>
    <xdr:sp macro="[0]!Macro19" textlink="">
      <xdr:nvSpPr>
        <xdr:cNvPr id="58" name="Text Box 19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 txBox="1">
          <a:spLocks noChangeArrowheads="1"/>
        </xdr:cNvSpPr>
      </xdr:nvSpPr>
      <xdr:spPr bwMode="auto">
        <a:xfrm>
          <a:off x="3771899" y="3457575"/>
          <a:ext cx="895351" cy="83820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3</xdr:col>
      <xdr:colOff>1</xdr:colOff>
      <xdr:row>38</xdr:row>
      <xdr:rowOff>0</xdr:rowOff>
    </xdr:from>
    <xdr:to>
      <xdr:col>4</xdr:col>
      <xdr:colOff>0</xdr:colOff>
      <xdr:row>43</xdr:row>
      <xdr:rowOff>19050</xdr:rowOff>
    </xdr:to>
    <xdr:sp macro="[0]!Macro21" textlink="">
      <xdr:nvSpPr>
        <xdr:cNvPr id="60" name="Text Box 21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 txBox="1">
          <a:spLocks noChangeArrowheads="1"/>
        </xdr:cNvSpPr>
      </xdr:nvSpPr>
      <xdr:spPr bwMode="auto">
        <a:xfrm>
          <a:off x="400051" y="4600575"/>
          <a:ext cx="990599" cy="752475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6</xdr:col>
      <xdr:colOff>1</xdr:colOff>
      <xdr:row>38</xdr:row>
      <xdr:rowOff>0</xdr:rowOff>
    </xdr:from>
    <xdr:to>
      <xdr:col>7</xdr:col>
      <xdr:colOff>0</xdr:colOff>
      <xdr:row>43</xdr:row>
      <xdr:rowOff>0</xdr:rowOff>
    </xdr:to>
    <xdr:sp macro="[0]!Macro22" textlink="">
      <xdr:nvSpPr>
        <xdr:cNvPr id="61" name="Text Box 22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 txBox="1">
          <a:spLocks noChangeArrowheads="1"/>
        </xdr:cNvSpPr>
      </xdr:nvSpPr>
      <xdr:spPr bwMode="auto">
        <a:xfrm>
          <a:off x="1571626" y="4600575"/>
          <a:ext cx="885824" cy="733425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9</xdr:col>
      <xdr:colOff>1</xdr:colOff>
      <xdr:row>38</xdr:row>
      <xdr:rowOff>0</xdr:rowOff>
    </xdr:from>
    <xdr:to>
      <xdr:col>10</xdr:col>
      <xdr:colOff>0</xdr:colOff>
      <xdr:row>43</xdr:row>
      <xdr:rowOff>0</xdr:rowOff>
    </xdr:to>
    <xdr:sp macro="[0]!Macro23" textlink="">
      <xdr:nvSpPr>
        <xdr:cNvPr id="62" name="Text Box 23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 txBox="1">
          <a:spLocks noChangeArrowheads="1"/>
        </xdr:cNvSpPr>
      </xdr:nvSpPr>
      <xdr:spPr bwMode="auto">
        <a:xfrm>
          <a:off x="2638426" y="4600575"/>
          <a:ext cx="952499" cy="733425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12</xdr:col>
      <xdr:colOff>1</xdr:colOff>
      <xdr:row>38</xdr:row>
      <xdr:rowOff>0</xdr:rowOff>
    </xdr:from>
    <xdr:to>
      <xdr:col>13</xdr:col>
      <xdr:colOff>0</xdr:colOff>
      <xdr:row>43</xdr:row>
      <xdr:rowOff>0</xdr:rowOff>
    </xdr:to>
    <xdr:sp macro="[0]!Macro24" textlink="">
      <xdr:nvSpPr>
        <xdr:cNvPr id="63" name="Text Box 24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 txBox="1">
          <a:spLocks noChangeArrowheads="1"/>
        </xdr:cNvSpPr>
      </xdr:nvSpPr>
      <xdr:spPr bwMode="auto">
        <a:xfrm>
          <a:off x="3771901" y="4600575"/>
          <a:ext cx="895349" cy="733425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15</xdr:col>
      <xdr:colOff>0</xdr:colOff>
      <xdr:row>38</xdr:row>
      <xdr:rowOff>0</xdr:rowOff>
    </xdr:from>
    <xdr:to>
      <xdr:col>16</xdr:col>
      <xdr:colOff>0</xdr:colOff>
      <xdr:row>43</xdr:row>
      <xdr:rowOff>0</xdr:rowOff>
    </xdr:to>
    <xdr:sp macro="[0]!Macro25" textlink="">
      <xdr:nvSpPr>
        <xdr:cNvPr id="64" name="Text Box 25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 txBox="1">
          <a:spLocks noChangeArrowheads="1"/>
        </xdr:cNvSpPr>
      </xdr:nvSpPr>
      <xdr:spPr bwMode="auto">
        <a:xfrm>
          <a:off x="4848225" y="4600575"/>
          <a:ext cx="885825" cy="733425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18</xdr:col>
      <xdr:colOff>0</xdr:colOff>
      <xdr:row>39</xdr:row>
      <xdr:rowOff>0</xdr:rowOff>
    </xdr:from>
    <xdr:to>
      <xdr:col>19</xdr:col>
      <xdr:colOff>0</xdr:colOff>
      <xdr:row>42</xdr:row>
      <xdr:rowOff>209549</xdr:rowOff>
    </xdr:to>
    <xdr:sp macro="[0]!Macro26" textlink="">
      <xdr:nvSpPr>
        <xdr:cNvPr id="65" name="Text Box 26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 txBox="1">
          <a:spLocks noChangeArrowheads="1"/>
        </xdr:cNvSpPr>
      </xdr:nvSpPr>
      <xdr:spPr bwMode="auto">
        <a:xfrm>
          <a:off x="5915025" y="4714875"/>
          <a:ext cx="809625" cy="619124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3</xdr:col>
      <xdr:colOff>1</xdr:colOff>
      <xdr:row>45</xdr:row>
      <xdr:rowOff>0</xdr:rowOff>
    </xdr:from>
    <xdr:to>
      <xdr:col>4</xdr:col>
      <xdr:colOff>1</xdr:colOff>
      <xdr:row>51</xdr:row>
      <xdr:rowOff>0</xdr:rowOff>
    </xdr:to>
    <xdr:sp macro="[0]!Macro27" textlink="">
      <xdr:nvSpPr>
        <xdr:cNvPr id="66" name="Text Box 27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 txBox="1">
          <a:spLocks noChangeArrowheads="1"/>
        </xdr:cNvSpPr>
      </xdr:nvSpPr>
      <xdr:spPr bwMode="auto">
        <a:xfrm>
          <a:off x="400051" y="5486400"/>
          <a:ext cx="990600" cy="95250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6</xdr:col>
      <xdr:colOff>1</xdr:colOff>
      <xdr:row>45</xdr:row>
      <xdr:rowOff>0</xdr:rowOff>
    </xdr:from>
    <xdr:to>
      <xdr:col>7</xdr:col>
      <xdr:colOff>0</xdr:colOff>
      <xdr:row>51</xdr:row>
      <xdr:rowOff>0</xdr:rowOff>
    </xdr:to>
    <xdr:sp macro="[0]!Macro28" textlink="">
      <xdr:nvSpPr>
        <xdr:cNvPr id="67" name="Text Box 28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 txBox="1">
          <a:spLocks noChangeArrowheads="1"/>
        </xdr:cNvSpPr>
      </xdr:nvSpPr>
      <xdr:spPr bwMode="auto">
        <a:xfrm>
          <a:off x="1571626" y="5486400"/>
          <a:ext cx="885824" cy="95250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9</xdr:col>
      <xdr:colOff>1</xdr:colOff>
      <xdr:row>45</xdr:row>
      <xdr:rowOff>0</xdr:rowOff>
    </xdr:from>
    <xdr:to>
      <xdr:col>10</xdr:col>
      <xdr:colOff>1</xdr:colOff>
      <xdr:row>51</xdr:row>
      <xdr:rowOff>0</xdr:rowOff>
    </xdr:to>
    <xdr:sp macro="[0]!Macro29" textlink="">
      <xdr:nvSpPr>
        <xdr:cNvPr id="68" name="Text Box 29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 txBox="1">
          <a:spLocks noChangeArrowheads="1"/>
        </xdr:cNvSpPr>
      </xdr:nvSpPr>
      <xdr:spPr bwMode="auto">
        <a:xfrm>
          <a:off x="2638426" y="5486400"/>
          <a:ext cx="952500" cy="95250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12</xdr:col>
      <xdr:colOff>1</xdr:colOff>
      <xdr:row>45</xdr:row>
      <xdr:rowOff>0</xdr:rowOff>
    </xdr:from>
    <xdr:to>
      <xdr:col>13</xdr:col>
      <xdr:colOff>1</xdr:colOff>
      <xdr:row>51</xdr:row>
      <xdr:rowOff>0</xdr:rowOff>
    </xdr:to>
    <xdr:sp macro="[0]!Macro30" textlink="">
      <xdr:nvSpPr>
        <xdr:cNvPr id="69" name="Text Box 30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 txBox="1">
          <a:spLocks noChangeArrowheads="1"/>
        </xdr:cNvSpPr>
      </xdr:nvSpPr>
      <xdr:spPr bwMode="auto">
        <a:xfrm>
          <a:off x="3771901" y="5486400"/>
          <a:ext cx="895350" cy="95250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15</xdr:col>
      <xdr:colOff>1</xdr:colOff>
      <xdr:row>45</xdr:row>
      <xdr:rowOff>0</xdr:rowOff>
    </xdr:from>
    <xdr:to>
      <xdr:col>16</xdr:col>
      <xdr:colOff>0</xdr:colOff>
      <xdr:row>51</xdr:row>
      <xdr:rowOff>0</xdr:rowOff>
    </xdr:to>
    <xdr:sp macro="[0]!Macro31" textlink="">
      <xdr:nvSpPr>
        <xdr:cNvPr id="70" name="Text Box 31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 txBox="1">
          <a:spLocks noChangeArrowheads="1"/>
        </xdr:cNvSpPr>
      </xdr:nvSpPr>
      <xdr:spPr bwMode="auto">
        <a:xfrm>
          <a:off x="4848226" y="5486400"/>
          <a:ext cx="885824" cy="95250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18</xdr:col>
      <xdr:colOff>0</xdr:colOff>
      <xdr:row>47</xdr:row>
      <xdr:rowOff>0</xdr:rowOff>
    </xdr:from>
    <xdr:to>
      <xdr:col>19</xdr:col>
      <xdr:colOff>0</xdr:colOff>
      <xdr:row>51</xdr:row>
      <xdr:rowOff>0</xdr:rowOff>
    </xdr:to>
    <xdr:sp macro="[0]!Macro32" textlink="">
      <xdr:nvSpPr>
        <xdr:cNvPr id="71" name="Text Box 32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 txBox="1">
          <a:spLocks noChangeArrowheads="1"/>
        </xdr:cNvSpPr>
      </xdr:nvSpPr>
      <xdr:spPr bwMode="auto">
        <a:xfrm>
          <a:off x="5915025" y="5715000"/>
          <a:ext cx="809625" cy="72390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3</xdr:col>
      <xdr:colOff>1</xdr:colOff>
      <xdr:row>55</xdr:row>
      <xdr:rowOff>0</xdr:rowOff>
    </xdr:from>
    <xdr:to>
      <xdr:col>4</xdr:col>
      <xdr:colOff>1</xdr:colOff>
      <xdr:row>61</xdr:row>
      <xdr:rowOff>0</xdr:rowOff>
    </xdr:to>
    <xdr:sp macro="[0]!Macro33" textlink="">
      <xdr:nvSpPr>
        <xdr:cNvPr id="72" name="Text Box 33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 txBox="1">
          <a:spLocks noChangeArrowheads="1"/>
        </xdr:cNvSpPr>
      </xdr:nvSpPr>
      <xdr:spPr bwMode="auto">
        <a:xfrm>
          <a:off x="400051" y="6743700"/>
          <a:ext cx="990600" cy="97155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6</xdr:col>
      <xdr:colOff>1</xdr:colOff>
      <xdr:row>55</xdr:row>
      <xdr:rowOff>0</xdr:rowOff>
    </xdr:from>
    <xdr:to>
      <xdr:col>7</xdr:col>
      <xdr:colOff>0</xdr:colOff>
      <xdr:row>61</xdr:row>
      <xdr:rowOff>0</xdr:rowOff>
    </xdr:to>
    <xdr:sp macro="[0]!Macro34" textlink="">
      <xdr:nvSpPr>
        <xdr:cNvPr id="73" name="Text Box 34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 txBox="1">
          <a:spLocks noChangeArrowheads="1"/>
        </xdr:cNvSpPr>
      </xdr:nvSpPr>
      <xdr:spPr bwMode="auto">
        <a:xfrm>
          <a:off x="1571626" y="6743700"/>
          <a:ext cx="885824" cy="97155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9</xdr:col>
      <xdr:colOff>1</xdr:colOff>
      <xdr:row>55</xdr:row>
      <xdr:rowOff>0</xdr:rowOff>
    </xdr:from>
    <xdr:to>
      <xdr:col>10</xdr:col>
      <xdr:colOff>1</xdr:colOff>
      <xdr:row>61</xdr:row>
      <xdr:rowOff>0</xdr:rowOff>
    </xdr:to>
    <xdr:sp macro="[0]!Macro35" textlink="">
      <xdr:nvSpPr>
        <xdr:cNvPr id="74" name="Text Box 35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 txBox="1">
          <a:spLocks noChangeArrowheads="1"/>
        </xdr:cNvSpPr>
      </xdr:nvSpPr>
      <xdr:spPr bwMode="auto">
        <a:xfrm>
          <a:off x="2638426" y="6743700"/>
          <a:ext cx="952500" cy="97155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12</xdr:col>
      <xdr:colOff>1</xdr:colOff>
      <xdr:row>56</xdr:row>
      <xdr:rowOff>0</xdr:rowOff>
    </xdr:from>
    <xdr:to>
      <xdr:col>13</xdr:col>
      <xdr:colOff>0</xdr:colOff>
      <xdr:row>60</xdr:row>
      <xdr:rowOff>314324</xdr:rowOff>
    </xdr:to>
    <xdr:sp macro="[0]!Macro36" textlink="">
      <xdr:nvSpPr>
        <xdr:cNvPr id="75" name="Text Box 36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 txBox="1">
          <a:spLocks noChangeArrowheads="1"/>
        </xdr:cNvSpPr>
      </xdr:nvSpPr>
      <xdr:spPr bwMode="auto">
        <a:xfrm>
          <a:off x="3771901" y="6858000"/>
          <a:ext cx="895349" cy="857249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15</xdr:col>
      <xdr:colOff>1</xdr:colOff>
      <xdr:row>56</xdr:row>
      <xdr:rowOff>0</xdr:rowOff>
    </xdr:from>
    <xdr:to>
      <xdr:col>16</xdr:col>
      <xdr:colOff>0</xdr:colOff>
      <xdr:row>61</xdr:row>
      <xdr:rowOff>0</xdr:rowOff>
    </xdr:to>
    <xdr:sp macro="[0]!Macro37" textlink="">
      <xdr:nvSpPr>
        <xdr:cNvPr id="76" name="Text Box 37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 txBox="1">
          <a:spLocks noChangeArrowheads="1"/>
        </xdr:cNvSpPr>
      </xdr:nvSpPr>
      <xdr:spPr bwMode="auto">
        <a:xfrm>
          <a:off x="4848226" y="6858000"/>
          <a:ext cx="885824" cy="85725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3</xdr:col>
      <xdr:colOff>0</xdr:colOff>
      <xdr:row>64</xdr:row>
      <xdr:rowOff>45720</xdr:rowOff>
    </xdr:from>
    <xdr:to>
      <xdr:col>4</xdr:col>
      <xdr:colOff>0</xdr:colOff>
      <xdr:row>70</xdr:row>
      <xdr:rowOff>0</xdr:rowOff>
    </xdr:to>
    <xdr:sp macro="[0]!Macro38" textlink="">
      <xdr:nvSpPr>
        <xdr:cNvPr id="77" name="Text Box 38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 txBox="1">
          <a:spLocks noChangeArrowheads="1"/>
        </xdr:cNvSpPr>
      </xdr:nvSpPr>
      <xdr:spPr bwMode="auto">
        <a:xfrm>
          <a:off x="411480" y="7917180"/>
          <a:ext cx="1021080" cy="90678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6</xdr:col>
      <xdr:colOff>0</xdr:colOff>
      <xdr:row>64</xdr:row>
      <xdr:rowOff>0</xdr:rowOff>
    </xdr:from>
    <xdr:to>
      <xdr:col>7</xdr:col>
      <xdr:colOff>0</xdr:colOff>
      <xdr:row>70</xdr:row>
      <xdr:rowOff>0</xdr:rowOff>
    </xdr:to>
    <xdr:sp macro="[0]!Macro39" textlink="">
      <xdr:nvSpPr>
        <xdr:cNvPr id="78" name="Text Box 39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 txBox="1">
          <a:spLocks noChangeArrowheads="1"/>
        </xdr:cNvSpPr>
      </xdr:nvSpPr>
      <xdr:spPr bwMode="auto">
        <a:xfrm>
          <a:off x="1571625" y="7981950"/>
          <a:ext cx="885825" cy="97155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9</xdr:col>
      <xdr:colOff>0</xdr:colOff>
      <xdr:row>65</xdr:row>
      <xdr:rowOff>1</xdr:rowOff>
    </xdr:from>
    <xdr:to>
      <xdr:col>10</xdr:col>
      <xdr:colOff>0</xdr:colOff>
      <xdr:row>70</xdr:row>
      <xdr:rowOff>1</xdr:rowOff>
    </xdr:to>
    <xdr:sp macro="[0]!Macro40" textlink="">
      <xdr:nvSpPr>
        <xdr:cNvPr id="79" name="Text Box 40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 txBox="1">
          <a:spLocks noChangeArrowheads="1"/>
        </xdr:cNvSpPr>
      </xdr:nvSpPr>
      <xdr:spPr bwMode="auto">
        <a:xfrm>
          <a:off x="2638425" y="8096251"/>
          <a:ext cx="952500" cy="85725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12</xdr:col>
      <xdr:colOff>0</xdr:colOff>
      <xdr:row>65</xdr:row>
      <xdr:rowOff>0</xdr:rowOff>
    </xdr:from>
    <xdr:to>
      <xdr:col>13</xdr:col>
      <xdr:colOff>0</xdr:colOff>
      <xdr:row>70</xdr:row>
      <xdr:rowOff>0</xdr:rowOff>
    </xdr:to>
    <xdr:sp macro="[0]!Macro41" textlink="">
      <xdr:nvSpPr>
        <xdr:cNvPr id="80" name="Text Box 41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 txBox="1">
          <a:spLocks noChangeArrowheads="1"/>
        </xdr:cNvSpPr>
      </xdr:nvSpPr>
      <xdr:spPr bwMode="auto">
        <a:xfrm>
          <a:off x="3771900" y="8096250"/>
          <a:ext cx="895350" cy="85725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15</xdr:col>
      <xdr:colOff>0</xdr:colOff>
      <xdr:row>65</xdr:row>
      <xdr:rowOff>0</xdr:rowOff>
    </xdr:from>
    <xdr:to>
      <xdr:col>16</xdr:col>
      <xdr:colOff>0</xdr:colOff>
      <xdr:row>70</xdr:row>
      <xdr:rowOff>0</xdr:rowOff>
    </xdr:to>
    <xdr:sp macro="[0]!Macro42" textlink="">
      <xdr:nvSpPr>
        <xdr:cNvPr id="81" name="Text Box 42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 txBox="1">
          <a:spLocks noChangeArrowheads="1"/>
        </xdr:cNvSpPr>
      </xdr:nvSpPr>
      <xdr:spPr bwMode="auto">
        <a:xfrm>
          <a:off x="4848225" y="8096250"/>
          <a:ext cx="885825" cy="85725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18</xdr:col>
      <xdr:colOff>1</xdr:colOff>
      <xdr:row>65</xdr:row>
      <xdr:rowOff>0</xdr:rowOff>
    </xdr:from>
    <xdr:to>
      <xdr:col>19</xdr:col>
      <xdr:colOff>0</xdr:colOff>
      <xdr:row>69</xdr:row>
      <xdr:rowOff>314324</xdr:rowOff>
    </xdr:to>
    <xdr:sp macro="[0]!Macro43" textlink="">
      <xdr:nvSpPr>
        <xdr:cNvPr id="82" name="Text Box 43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 txBox="1">
          <a:spLocks noChangeArrowheads="1"/>
        </xdr:cNvSpPr>
      </xdr:nvSpPr>
      <xdr:spPr bwMode="auto">
        <a:xfrm>
          <a:off x="5915026" y="8096250"/>
          <a:ext cx="809624" cy="857249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0</xdr:col>
      <xdr:colOff>38100</xdr:colOff>
      <xdr:row>81</xdr:row>
      <xdr:rowOff>114299</xdr:rowOff>
    </xdr:from>
    <xdr:to>
      <xdr:col>9</xdr:col>
      <xdr:colOff>876491</xdr:colOff>
      <xdr:row>88</xdr:row>
      <xdr:rowOff>314325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pSpPr/>
      </xdr:nvGrpSpPr>
      <xdr:grpSpPr>
        <a:xfrm>
          <a:off x="38100" y="10309859"/>
          <a:ext cx="3566351" cy="1784986"/>
          <a:chOff x="7219950" y="10448924"/>
          <a:chExt cx="3495866" cy="1790701"/>
        </a:xfrm>
      </xdr:grpSpPr>
      <xdr:sp macro="" textlink="">
        <xdr:nvSpPr>
          <xdr:cNvPr id="37" name="Text Box 238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298731" y="10610852"/>
            <a:ext cx="1445346" cy="1300288"/>
          </a:xfrm>
          <a:prstGeom prst="rect">
            <a:avLst/>
          </a:prstGeom>
          <a:solidFill>
            <a:srgbClr val="FFFFD9"/>
          </a:solidFill>
          <a:ln w="19050" algn="ctr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36576" tIns="32004" rIns="228600" bIns="0" anchor="t" upright="1"/>
          <a:lstStyle/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 2110</a:t>
            </a:r>
            <a:endParaRPr lang="en-US" sz="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en-US" sz="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Creative Decisions</a:t>
            </a:r>
          </a:p>
          <a:p>
            <a:pPr algn="ctr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and Design</a:t>
            </a:r>
            <a:endParaRPr lang="en-US" sz="8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(See Note 3, No W's)</a:t>
            </a:r>
            <a:endParaRPr lang="en-US" sz="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en-US" sz="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2-3-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3</a:t>
            </a:r>
          </a:p>
          <a:p>
            <a:pPr algn="ctr" rtl="0">
              <a:defRPr sz="1000"/>
            </a:pPr>
            <a:endParaRPr lang="en-US" sz="4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en-US" sz="4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en-US" sz="7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 1670, COE 2001*</a:t>
            </a:r>
          </a:p>
        </xdr:txBody>
      </xdr:sp>
      <xdr:sp macro="" textlink="">
        <xdr:nvSpPr>
          <xdr:cNvPr id="38" name="Line 239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8298731" y="11619875"/>
            <a:ext cx="1445346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" name="Line 217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8096250" y="11372850"/>
            <a:ext cx="600076" cy="142875"/>
          </a:xfrm>
          <a:prstGeom prst="line">
            <a:avLst/>
          </a:prstGeom>
          <a:noFill/>
          <a:ln w="38100">
            <a:solidFill>
              <a:srgbClr val="800080"/>
            </a:solidFill>
            <a:round/>
            <a:headEnd/>
            <a:tailEnd type="triangle" w="med" len="med"/>
          </a:ln>
        </xdr:spPr>
      </xdr:sp>
      <xdr:sp macro="" textlink="">
        <xdr:nvSpPr>
          <xdr:cNvPr id="8" name="Line 218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058274" y="11020426"/>
            <a:ext cx="942975" cy="419100"/>
          </a:xfrm>
          <a:prstGeom prst="line">
            <a:avLst/>
          </a:prstGeom>
          <a:noFill/>
          <a:ln w="38100">
            <a:solidFill>
              <a:srgbClr val="800080"/>
            </a:solidFill>
            <a:round/>
            <a:headEnd/>
            <a:tailEnd type="triangle" w="med" len="med"/>
          </a:ln>
        </xdr:spPr>
      </xdr:sp>
      <xdr:sp macro="" textlink="">
        <xdr:nvSpPr>
          <xdr:cNvPr id="9" name="Line 219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220200" y="11420475"/>
            <a:ext cx="781050" cy="104776"/>
          </a:xfrm>
          <a:prstGeom prst="line">
            <a:avLst/>
          </a:prstGeom>
          <a:noFill/>
          <a:ln w="38100">
            <a:solidFill>
              <a:srgbClr val="800080"/>
            </a:solidFill>
            <a:round/>
            <a:headEnd/>
            <a:tailEnd type="triangle" w="med" len="med"/>
          </a:ln>
        </xdr:spPr>
      </xdr:sp>
      <xdr:sp macro="" textlink="">
        <xdr:nvSpPr>
          <xdr:cNvPr id="10" name="Line 220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8096250" y="11001376"/>
            <a:ext cx="323851" cy="247650"/>
          </a:xfrm>
          <a:prstGeom prst="line">
            <a:avLst/>
          </a:prstGeom>
          <a:noFill/>
          <a:ln w="38100">
            <a:solidFill>
              <a:srgbClr val="800080"/>
            </a:solidFill>
            <a:round/>
            <a:headEnd/>
            <a:tailEnd type="triangle" w="med" len="med"/>
          </a:ln>
        </xdr:spPr>
      </xdr:sp>
      <xdr:sp macro="" textlink="">
        <xdr:nvSpPr>
          <xdr:cNvPr id="12" name="Line 222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8086725" y="10601325"/>
            <a:ext cx="504825" cy="104775"/>
          </a:xfrm>
          <a:prstGeom prst="line">
            <a:avLst/>
          </a:prstGeom>
          <a:noFill/>
          <a:ln w="38100">
            <a:solidFill>
              <a:srgbClr val="800080"/>
            </a:solidFill>
            <a:round/>
            <a:headEnd/>
            <a:tailEnd type="triangle" w="med" len="med"/>
          </a:ln>
        </xdr:spPr>
      </xdr:sp>
      <xdr:sp macro="" textlink="">
        <xdr:nvSpPr>
          <xdr:cNvPr id="13" name="Text Box 223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353300" y="10448924"/>
            <a:ext cx="795528" cy="314325"/>
          </a:xfrm>
          <a:prstGeom prst="rect">
            <a:avLst/>
          </a:prstGeom>
          <a:solidFill>
            <a:srgbClr val="800080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Class Number</a:t>
            </a:r>
          </a:p>
        </xdr:txBody>
      </xdr:sp>
      <xdr:sp macro="" textlink="">
        <xdr:nvSpPr>
          <xdr:cNvPr id="14" name="Text Box 224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353300" y="10820399"/>
            <a:ext cx="795528" cy="310896"/>
          </a:xfrm>
          <a:prstGeom prst="rect">
            <a:avLst/>
          </a:prstGeom>
          <a:solidFill>
            <a:srgbClr val="800080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Notes about Class</a:t>
            </a:r>
          </a:p>
        </xdr:txBody>
      </xdr:sp>
      <xdr:sp macro="" textlink="">
        <xdr:nvSpPr>
          <xdr:cNvPr id="15" name="Text Box 225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10763" y="11239500"/>
            <a:ext cx="795528" cy="310896"/>
          </a:xfrm>
          <a:prstGeom prst="rect">
            <a:avLst/>
          </a:prstGeom>
          <a:solidFill>
            <a:srgbClr val="800080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Total Credit Hours</a:t>
            </a:r>
          </a:p>
        </xdr:txBody>
      </xdr:sp>
      <xdr:sp macro="" textlink="">
        <xdr:nvSpPr>
          <xdr:cNvPr id="16" name="Text Box 226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19950" y="11610975"/>
            <a:ext cx="981075" cy="361950"/>
          </a:xfrm>
          <a:prstGeom prst="rect">
            <a:avLst/>
          </a:prstGeom>
          <a:solidFill>
            <a:srgbClr val="800080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Pre-Requisites &amp;</a:t>
            </a:r>
          </a:p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Co-Requisites*</a:t>
            </a:r>
          </a:p>
        </xdr:txBody>
      </xdr:sp>
      <xdr:sp macro="" textlink="">
        <xdr:nvSpPr>
          <xdr:cNvPr id="17" name="Text Box 227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29475" y="11201399"/>
            <a:ext cx="971550" cy="323851"/>
          </a:xfrm>
          <a:prstGeom prst="rect">
            <a:avLst/>
          </a:prstGeom>
          <a:solidFill>
            <a:srgbClr val="800080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Lecture Hours</a:t>
            </a:r>
          </a:p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( per week )</a:t>
            </a:r>
          </a:p>
        </xdr:txBody>
      </xdr:sp>
      <xdr:sp macro="" textlink="">
        <xdr:nvSpPr>
          <xdr:cNvPr id="18" name="Text Box 228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10763" y="10848975"/>
            <a:ext cx="795528" cy="310896"/>
          </a:xfrm>
          <a:prstGeom prst="rect">
            <a:avLst/>
          </a:prstGeom>
          <a:solidFill>
            <a:srgbClr val="800080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Lab Hours</a:t>
            </a:r>
          </a:p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( per week)</a:t>
            </a:r>
          </a:p>
        </xdr:txBody>
      </xdr:sp>
      <xdr:sp macro="" textlink="">
        <xdr:nvSpPr>
          <xdr:cNvPr id="19" name="Text Box 229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01238" y="10458450"/>
            <a:ext cx="795528" cy="310896"/>
          </a:xfrm>
          <a:prstGeom prst="rect">
            <a:avLst/>
          </a:prstGeom>
          <a:solidFill>
            <a:srgbClr val="800080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Class Description</a:t>
            </a:r>
          </a:p>
        </xdr:txBody>
      </xdr:sp>
      <xdr:sp macro="" textlink="">
        <xdr:nvSpPr>
          <xdr:cNvPr id="6" name="Line 216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496423" y="10610850"/>
            <a:ext cx="504826" cy="333375"/>
          </a:xfrm>
          <a:prstGeom prst="line">
            <a:avLst/>
          </a:prstGeom>
          <a:noFill/>
          <a:ln w="38100">
            <a:solidFill>
              <a:srgbClr val="800080"/>
            </a:solidFill>
            <a:round/>
            <a:headEnd/>
            <a:tailEnd type="triangle" w="med" len="med"/>
          </a:ln>
        </xdr:spPr>
      </xdr:sp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 bwMode="auto">
          <a:xfrm>
            <a:off x="9572625" y="10601325"/>
            <a:ext cx="9525" cy="1314450"/>
          </a:xfrm>
          <a:prstGeom prst="line">
            <a:avLst/>
          </a:prstGeom>
          <a:ln w="3175">
            <a:prstDash val="solid"/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100-000055000000}"/>
              </a:ext>
            </a:extLst>
          </xdr:cNvPr>
          <xdr:cNvSpPr/>
        </xdr:nvSpPr>
        <xdr:spPr bwMode="auto">
          <a:xfrm>
            <a:off x="9582150" y="11622882"/>
            <a:ext cx="157163" cy="280988"/>
          </a:xfrm>
          <a:prstGeom prst="rect">
            <a:avLst/>
          </a:prstGeom>
          <a:solidFill>
            <a:srgbClr val="000066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sp macro="" textlink="">
        <xdr:nvSpPr>
          <xdr:cNvPr id="11" name="Line 221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8105775" y="11752105"/>
            <a:ext cx="333376" cy="87470"/>
          </a:xfrm>
          <a:prstGeom prst="line">
            <a:avLst/>
          </a:prstGeom>
          <a:noFill/>
          <a:ln w="38100">
            <a:solidFill>
              <a:srgbClr val="800080"/>
            </a:solidFill>
            <a:round/>
            <a:headEnd/>
            <a:tailEnd type="triangle" w="med" len="med"/>
          </a:ln>
        </xdr:spPr>
      </xdr:sp>
      <xdr:sp macro="" textlink="">
        <xdr:nvSpPr>
          <xdr:cNvPr id="87" name="Line 219">
            <a:extLst>
              <a:ext uri="{FF2B5EF4-FFF2-40B4-BE49-F238E27FC236}">
                <a16:creationId xmlns:a16="http://schemas.microsoft.com/office/drawing/2014/main" id="{00000000-0008-0000-0100-000057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9715499" y="11782425"/>
            <a:ext cx="371476" cy="114300"/>
          </a:xfrm>
          <a:prstGeom prst="line">
            <a:avLst/>
          </a:prstGeom>
          <a:noFill/>
          <a:ln w="38100">
            <a:solidFill>
              <a:srgbClr val="800080"/>
            </a:solidFill>
            <a:round/>
            <a:headEnd/>
            <a:tailEnd type="triangle" w="med" len="med"/>
          </a:ln>
        </xdr:spPr>
      </xdr:sp>
      <xdr:sp macro="" textlink="">
        <xdr:nvSpPr>
          <xdr:cNvPr id="86" name="Text Box 225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20288" y="11620499"/>
            <a:ext cx="795528" cy="619126"/>
          </a:xfrm>
          <a:prstGeom prst="rect">
            <a:avLst/>
          </a:prstGeom>
          <a:solidFill>
            <a:srgbClr val="800080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Included in Major GPA if filled in with dark color</a:t>
            </a:r>
          </a:p>
        </xdr:txBody>
      </xdr:sp>
    </xdr:grp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8</xdr:row>
      <xdr:rowOff>0</xdr:rowOff>
    </xdr:to>
    <xdr:sp macro="[0]!Macro46" textlink="">
      <xdr:nvSpPr>
        <xdr:cNvPr id="2" name="Text Box 46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915025" y="457200"/>
          <a:ext cx="809625" cy="695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3</xdr:col>
      <xdr:colOff>1</xdr:colOff>
      <xdr:row>10</xdr:row>
      <xdr:rowOff>1</xdr:rowOff>
    </xdr:from>
    <xdr:to>
      <xdr:col>4</xdr:col>
      <xdr:colOff>1</xdr:colOff>
      <xdr:row>15</xdr:row>
      <xdr:rowOff>1</xdr:rowOff>
    </xdr:to>
    <xdr:sp macro="[0]!Macro6" textlink="">
      <xdr:nvSpPr>
        <xdr:cNvPr id="89" name="Text Box 6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 txBox="1">
          <a:spLocks noChangeArrowheads="1"/>
        </xdr:cNvSpPr>
      </xdr:nvSpPr>
      <xdr:spPr bwMode="auto">
        <a:xfrm>
          <a:off x="400051" y="1352551"/>
          <a:ext cx="990600" cy="68580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6</xdr:col>
      <xdr:colOff>1</xdr:colOff>
      <xdr:row>10</xdr:row>
      <xdr:rowOff>1</xdr:rowOff>
    </xdr:from>
    <xdr:to>
      <xdr:col>7</xdr:col>
      <xdr:colOff>0</xdr:colOff>
      <xdr:row>15</xdr:row>
      <xdr:rowOff>1</xdr:rowOff>
    </xdr:to>
    <xdr:sp macro="[0]!Macro7" textlink="">
      <xdr:nvSpPr>
        <xdr:cNvPr id="90" name="Text Box 7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 txBox="1">
          <a:spLocks noChangeArrowheads="1"/>
        </xdr:cNvSpPr>
      </xdr:nvSpPr>
      <xdr:spPr bwMode="auto">
        <a:xfrm>
          <a:off x="1571626" y="1352551"/>
          <a:ext cx="885824" cy="68580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9</xdr:col>
      <xdr:colOff>1</xdr:colOff>
      <xdr:row>10</xdr:row>
      <xdr:rowOff>0</xdr:rowOff>
    </xdr:from>
    <xdr:to>
      <xdr:col>10</xdr:col>
      <xdr:colOff>0</xdr:colOff>
      <xdr:row>15</xdr:row>
      <xdr:rowOff>1</xdr:rowOff>
    </xdr:to>
    <xdr:sp macro="[0]!Macro8" textlink="">
      <xdr:nvSpPr>
        <xdr:cNvPr id="91" name="Text Box 8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 txBox="1">
          <a:spLocks noChangeArrowheads="1"/>
        </xdr:cNvSpPr>
      </xdr:nvSpPr>
      <xdr:spPr bwMode="auto">
        <a:xfrm>
          <a:off x="2638426" y="1352550"/>
          <a:ext cx="952499" cy="685801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12</xdr:col>
      <xdr:colOff>1</xdr:colOff>
      <xdr:row>10</xdr:row>
      <xdr:rowOff>0</xdr:rowOff>
    </xdr:from>
    <xdr:to>
      <xdr:col>13</xdr:col>
      <xdr:colOff>1</xdr:colOff>
      <xdr:row>15</xdr:row>
      <xdr:rowOff>0</xdr:rowOff>
    </xdr:to>
    <xdr:sp macro="[0]!Macro9" textlink="">
      <xdr:nvSpPr>
        <xdr:cNvPr id="92" name="Text Box 9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 txBox="1">
          <a:spLocks noChangeArrowheads="1"/>
        </xdr:cNvSpPr>
      </xdr:nvSpPr>
      <xdr:spPr bwMode="auto">
        <a:xfrm>
          <a:off x="3771901" y="1352550"/>
          <a:ext cx="895350" cy="68580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1</xdr:colOff>
      <xdr:row>25</xdr:row>
      <xdr:rowOff>0</xdr:rowOff>
    </xdr:to>
    <xdr:sp macro="[0]!Macro12" textlink="">
      <xdr:nvSpPr>
        <xdr:cNvPr id="94" name="Text Box 12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 txBox="1">
          <a:spLocks noChangeArrowheads="1"/>
        </xdr:cNvSpPr>
      </xdr:nvSpPr>
      <xdr:spPr bwMode="auto">
        <a:xfrm>
          <a:off x="1571625" y="2343150"/>
          <a:ext cx="885826" cy="847725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12</xdr:col>
      <xdr:colOff>1</xdr:colOff>
      <xdr:row>17</xdr:row>
      <xdr:rowOff>114299</xdr:rowOff>
    </xdr:from>
    <xdr:to>
      <xdr:col>13</xdr:col>
      <xdr:colOff>1</xdr:colOff>
      <xdr:row>24</xdr:row>
      <xdr:rowOff>142874</xdr:rowOff>
    </xdr:to>
    <xdr:sp macro="[0]!Macro14" textlink="">
      <xdr:nvSpPr>
        <xdr:cNvPr id="96" name="Text Box 14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 txBox="1">
          <a:spLocks noChangeArrowheads="1"/>
        </xdr:cNvSpPr>
      </xdr:nvSpPr>
      <xdr:spPr bwMode="auto">
        <a:xfrm>
          <a:off x="3771901" y="2228849"/>
          <a:ext cx="895350" cy="962025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15</xdr:col>
      <xdr:colOff>1</xdr:colOff>
      <xdr:row>18</xdr:row>
      <xdr:rowOff>1</xdr:rowOff>
    </xdr:from>
    <xdr:to>
      <xdr:col>16</xdr:col>
      <xdr:colOff>0</xdr:colOff>
      <xdr:row>25</xdr:row>
      <xdr:rowOff>0</xdr:rowOff>
    </xdr:to>
    <xdr:sp macro="[0]!Macro15" textlink="">
      <xdr:nvSpPr>
        <xdr:cNvPr id="97" name="Text Box 15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 txBox="1">
          <a:spLocks noChangeArrowheads="1"/>
        </xdr:cNvSpPr>
      </xdr:nvSpPr>
      <xdr:spPr bwMode="auto">
        <a:xfrm>
          <a:off x="4848226" y="2228851"/>
          <a:ext cx="885824" cy="962024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3</xdr:col>
      <xdr:colOff>1</xdr:colOff>
      <xdr:row>27</xdr:row>
      <xdr:rowOff>1</xdr:rowOff>
    </xdr:from>
    <xdr:to>
      <xdr:col>4</xdr:col>
      <xdr:colOff>1</xdr:colOff>
      <xdr:row>34</xdr:row>
      <xdr:rowOff>1</xdr:rowOff>
    </xdr:to>
    <xdr:sp macro="[0]!Macro16" textlink="">
      <xdr:nvSpPr>
        <xdr:cNvPr id="98" name="Text Box 16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 txBox="1">
          <a:spLocks noChangeArrowheads="1"/>
        </xdr:cNvSpPr>
      </xdr:nvSpPr>
      <xdr:spPr bwMode="auto">
        <a:xfrm>
          <a:off x="400051" y="3343276"/>
          <a:ext cx="990600" cy="95250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6</xdr:col>
      <xdr:colOff>9526</xdr:colOff>
      <xdr:row>28</xdr:row>
      <xdr:rowOff>1</xdr:rowOff>
    </xdr:from>
    <xdr:to>
      <xdr:col>7</xdr:col>
      <xdr:colOff>1</xdr:colOff>
      <xdr:row>34</xdr:row>
      <xdr:rowOff>1</xdr:rowOff>
    </xdr:to>
    <xdr:sp macro="[0]!Macro17" textlink="">
      <xdr:nvSpPr>
        <xdr:cNvPr id="99" name="Text Box 17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 txBox="1">
          <a:spLocks noChangeArrowheads="1"/>
        </xdr:cNvSpPr>
      </xdr:nvSpPr>
      <xdr:spPr bwMode="auto">
        <a:xfrm>
          <a:off x="1581151" y="3457576"/>
          <a:ext cx="876300" cy="83820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15</xdr:col>
      <xdr:colOff>0</xdr:colOff>
      <xdr:row>29</xdr:row>
      <xdr:rowOff>0</xdr:rowOff>
    </xdr:from>
    <xdr:to>
      <xdr:col>16</xdr:col>
      <xdr:colOff>0</xdr:colOff>
      <xdr:row>34</xdr:row>
      <xdr:rowOff>0</xdr:rowOff>
    </xdr:to>
    <xdr:sp macro="[0]!Macro20" textlink="">
      <xdr:nvSpPr>
        <xdr:cNvPr id="100" name="Text Box 20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 txBox="1">
          <a:spLocks noChangeArrowheads="1"/>
        </xdr:cNvSpPr>
      </xdr:nvSpPr>
      <xdr:spPr bwMode="auto">
        <a:xfrm>
          <a:off x="4848225" y="3571875"/>
          <a:ext cx="885825" cy="723900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22</xdr:col>
      <xdr:colOff>0</xdr:colOff>
      <xdr:row>25</xdr:row>
      <xdr:rowOff>0</xdr:rowOff>
    </xdr:from>
    <xdr:to>
      <xdr:col>26</xdr:col>
      <xdr:colOff>0</xdr:colOff>
      <xdr:row>48</xdr:row>
      <xdr:rowOff>0</xdr:rowOff>
    </xdr:to>
    <xdr:sp macro="" textlink="">
      <xdr:nvSpPr>
        <xdr:cNvPr id="101" name="Text Box 169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 txBox="1">
          <a:spLocks noChangeArrowheads="1"/>
        </xdr:cNvSpPr>
      </xdr:nvSpPr>
      <xdr:spPr bwMode="auto">
        <a:xfrm>
          <a:off x="7534275" y="3019425"/>
          <a:ext cx="2438400" cy="2486025"/>
        </a:xfrm>
        <a:prstGeom prst="rect">
          <a:avLst/>
        </a:prstGeom>
        <a:solidFill>
          <a:srgbClr val="FF0000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Clicking the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Create a Semester Schedule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box above will create a semester-by-semester schedule based on your projected plan on the Program of Study.  The results will be displayed on a separate worksheet.</a:t>
          </a:r>
        </a:p>
        <a:p>
          <a:pPr algn="l" rtl="0">
            <a:defRPr sz="1000"/>
          </a:pPr>
          <a:endParaRPr lang="en-US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plan must always be verified with degreeworks and an advisor.  This is not a verified schedule, because you are using the macros. 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Advisor shorts cuts: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M-summer 1st year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L-fall 1st year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J-spring 1st year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T-transfers</a:t>
          </a:r>
        </a:p>
      </xdr:txBody>
    </xdr:sp>
    <xdr:clientData/>
  </xdr:twoCellAnchor>
  <xdr:twoCellAnchor>
    <xdr:from>
      <xdr:col>22</xdr:col>
      <xdr:colOff>1</xdr:colOff>
      <xdr:row>2</xdr:row>
      <xdr:rowOff>0</xdr:rowOff>
    </xdr:from>
    <xdr:to>
      <xdr:col>26</xdr:col>
      <xdr:colOff>0</xdr:colOff>
      <xdr:row>15</xdr:row>
      <xdr:rowOff>0</xdr:rowOff>
    </xdr:to>
    <xdr:sp macro="[0]!CreateScheduleButton" textlink="">
      <xdr:nvSpPr>
        <xdr:cNvPr id="103" name="TextBox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 txBox="1"/>
      </xdr:nvSpPr>
      <xdr:spPr>
        <a:xfrm>
          <a:off x="7437121" y="289560"/>
          <a:ext cx="2499359" cy="169926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/>
            <a:t>Click Here to Create a Semester Schedule</a:t>
          </a:r>
        </a:p>
      </xdr:txBody>
    </xdr:sp>
    <xdr:clientData/>
  </xdr:twoCellAnchor>
  <xdr:twoCellAnchor>
    <xdr:from>
      <xdr:col>22</xdr:col>
      <xdr:colOff>0</xdr:colOff>
      <xdr:row>49</xdr:row>
      <xdr:rowOff>1</xdr:rowOff>
    </xdr:from>
    <xdr:to>
      <xdr:col>26</xdr:col>
      <xdr:colOff>0</xdr:colOff>
      <xdr:row>56</xdr:row>
      <xdr:rowOff>0</xdr:rowOff>
    </xdr:to>
    <xdr:sp macro="[0]!ClearAll" textlink="">
      <xdr:nvSpPr>
        <xdr:cNvPr id="104" name="TextBox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 txBox="1"/>
      </xdr:nvSpPr>
      <xdr:spPr>
        <a:xfrm>
          <a:off x="7437120" y="5913121"/>
          <a:ext cx="2499360" cy="853439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/>
            <a:t>Clear Text From All Cells</a:t>
          </a:r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8</xdr:row>
      <xdr:rowOff>0</xdr:rowOff>
    </xdr:to>
    <xdr:sp macro="[0]!Macro47" textlink="">
      <xdr:nvSpPr>
        <xdr:cNvPr id="135" name="Text Box 47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 txBox="1">
          <a:spLocks noChangeArrowheads="1"/>
        </xdr:cNvSpPr>
      </xdr:nvSpPr>
      <xdr:spPr bwMode="auto">
        <a:xfrm>
          <a:off x="9944100" y="457200"/>
          <a:ext cx="657225" cy="695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8</xdr:row>
      <xdr:rowOff>0</xdr:rowOff>
    </xdr:to>
    <xdr:sp macro="[0]!Macro48" textlink="">
      <xdr:nvSpPr>
        <xdr:cNvPr id="136" name="Text Box 48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 txBox="1">
          <a:spLocks noChangeArrowheads="1"/>
        </xdr:cNvSpPr>
      </xdr:nvSpPr>
      <xdr:spPr bwMode="auto">
        <a:xfrm>
          <a:off x="10810875" y="457200"/>
          <a:ext cx="657225" cy="695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8</xdr:row>
      <xdr:rowOff>1</xdr:rowOff>
    </xdr:to>
    <xdr:sp macro="[0]!Macro49" textlink="">
      <xdr:nvSpPr>
        <xdr:cNvPr id="137" name="Text Box 49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 txBox="1">
          <a:spLocks noChangeArrowheads="1"/>
        </xdr:cNvSpPr>
      </xdr:nvSpPr>
      <xdr:spPr bwMode="auto">
        <a:xfrm>
          <a:off x="11677650" y="457200"/>
          <a:ext cx="657225" cy="69532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8</xdr:row>
      <xdr:rowOff>0</xdr:rowOff>
    </xdr:to>
    <xdr:sp macro="[0]!Macro50" textlink="">
      <xdr:nvSpPr>
        <xdr:cNvPr id="138" name="Text Box 50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 txBox="1">
          <a:spLocks noChangeArrowheads="1"/>
        </xdr:cNvSpPr>
      </xdr:nvSpPr>
      <xdr:spPr bwMode="auto">
        <a:xfrm>
          <a:off x="12544425" y="457200"/>
          <a:ext cx="657225" cy="695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8</xdr:row>
      <xdr:rowOff>0</xdr:rowOff>
    </xdr:to>
    <xdr:sp macro="[0]!Macro51" textlink="">
      <xdr:nvSpPr>
        <xdr:cNvPr id="139" name="Text Box 51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 txBox="1">
          <a:spLocks noChangeArrowheads="1"/>
        </xdr:cNvSpPr>
      </xdr:nvSpPr>
      <xdr:spPr bwMode="auto">
        <a:xfrm>
          <a:off x="13411200" y="457200"/>
          <a:ext cx="657225" cy="695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27</xdr:col>
      <xdr:colOff>0</xdr:colOff>
      <xdr:row>10</xdr:row>
      <xdr:rowOff>0</xdr:rowOff>
    </xdr:from>
    <xdr:to>
      <xdr:col>28</xdr:col>
      <xdr:colOff>0</xdr:colOff>
      <xdr:row>15</xdr:row>
      <xdr:rowOff>0</xdr:rowOff>
    </xdr:to>
    <xdr:sp macro="[0]!Macro52" textlink="">
      <xdr:nvSpPr>
        <xdr:cNvPr id="141" name="Text Box 52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 txBox="1">
          <a:spLocks noChangeArrowheads="1"/>
        </xdr:cNvSpPr>
      </xdr:nvSpPr>
      <xdr:spPr bwMode="auto">
        <a:xfrm>
          <a:off x="9944100" y="1352550"/>
          <a:ext cx="657225" cy="685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30</xdr:col>
      <xdr:colOff>0</xdr:colOff>
      <xdr:row>10</xdr:row>
      <xdr:rowOff>0</xdr:rowOff>
    </xdr:from>
    <xdr:to>
      <xdr:col>31</xdr:col>
      <xdr:colOff>0</xdr:colOff>
      <xdr:row>15</xdr:row>
      <xdr:rowOff>0</xdr:rowOff>
    </xdr:to>
    <xdr:sp macro="[0]!Macro53" textlink="">
      <xdr:nvSpPr>
        <xdr:cNvPr id="142" name="Text Box 53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 txBox="1">
          <a:spLocks noChangeArrowheads="1"/>
        </xdr:cNvSpPr>
      </xdr:nvSpPr>
      <xdr:spPr bwMode="auto">
        <a:xfrm>
          <a:off x="10810875" y="1352550"/>
          <a:ext cx="657225" cy="685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33</xdr:col>
      <xdr:colOff>0</xdr:colOff>
      <xdr:row>10</xdr:row>
      <xdr:rowOff>0</xdr:rowOff>
    </xdr:from>
    <xdr:to>
      <xdr:col>34</xdr:col>
      <xdr:colOff>0</xdr:colOff>
      <xdr:row>14</xdr:row>
      <xdr:rowOff>142874</xdr:rowOff>
    </xdr:to>
    <xdr:sp macro="[0]!Macro54" textlink="">
      <xdr:nvSpPr>
        <xdr:cNvPr id="143" name="Text Box 54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 txBox="1">
          <a:spLocks noChangeArrowheads="1"/>
        </xdr:cNvSpPr>
      </xdr:nvSpPr>
      <xdr:spPr bwMode="auto">
        <a:xfrm>
          <a:off x="11677650" y="1352550"/>
          <a:ext cx="657225" cy="6857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36</xdr:col>
      <xdr:colOff>0</xdr:colOff>
      <xdr:row>10</xdr:row>
      <xdr:rowOff>0</xdr:rowOff>
    </xdr:from>
    <xdr:to>
      <xdr:col>37</xdr:col>
      <xdr:colOff>0</xdr:colOff>
      <xdr:row>15</xdr:row>
      <xdr:rowOff>0</xdr:rowOff>
    </xdr:to>
    <xdr:sp macro="[0]!Macro55" textlink="">
      <xdr:nvSpPr>
        <xdr:cNvPr id="144" name="Text Box 55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 txBox="1">
          <a:spLocks noChangeArrowheads="1"/>
        </xdr:cNvSpPr>
      </xdr:nvSpPr>
      <xdr:spPr bwMode="auto">
        <a:xfrm>
          <a:off x="12544425" y="1352550"/>
          <a:ext cx="657225" cy="685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39</xdr:col>
      <xdr:colOff>1</xdr:colOff>
      <xdr:row>10</xdr:row>
      <xdr:rowOff>0</xdr:rowOff>
    </xdr:from>
    <xdr:to>
      <xdr:col>40</xdr:col>
      <xdr:colOff>0</xdr:colOff>
      <xdr:row>15</xdr:row>
      <xdr:rowOff>0</xdr:rowOff>
    </xdr:to>
    <xdr:sp macro="[0]!Macro56" textlink="">
      <xdr:nvSpPr>
        <xdr:cNvPr id="145" name="Text Box 56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 txBox="1">
          <a:spLocks noChangeArrowheads="1"/>
        </xdr:cNvSpPr>
      </xdr:nvSpPr>
      <xdr:spPr bwMode="auto">
        <a:xfrm>
          <a:off x="13411201" y="1352550"/>
          <a:ext cx="657224" cy="685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endParaRPr lang="en-US" sz="3800">
            <a:solidFill>
              <a:srgbClr val="FF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3</xdr:col>
      <xdr:colOff>1</xdr:colOff>
      <xdr:row>73</xdr:row>
      <xdr:rowOff>47624</xdr:rowOff>
    </xdr:from>
    <xdr:to>
      <xdr:col>4</xdr:col>
      <xdr:colOff>0</xdr:colOff>
      <xdr:row>78</xdr:row>
      <xdr:rowOff>66674</xdr:rowOff>
    </xdr:to>
    <xdr:sp macro="[0]!Macro45" textlink="">
      <xdr:nvSpPr>
        <xdr:cNvPr id="88" name="Text Box 45">
          <a:extLst>
            <a:ext uri="{FF2B5EF4-FFF2-40B4-BE49-F238E27FC236}">
              <a16:creationId xmlns:a16="http://schemas.microsoft.com/office/drawing/2014/main" id="{D3B0ED21-3D86-411B-9D3A-923B387D0459}"/>
            </a:ext>
          </a:extLst>
        </xdr:cNvPr>
        <xdr:cNvSpPr txBox="1">
          <a:spLocks noChangeArrowheads="1"/>
        </xdr:cNvSpPr>
      </xdr:nvSpPr>
      <xdr:spPr bwMode="auto">
        <a:xfrm>
          <a:off x="400051" y="9353549"/>
          <a:ext cx="990599" cy="676275"/>
        </a:xfrm>
        <a:prstGeom prst="rect">
          <a:avLst/>
        </a:prstGeom>
        <a:noFill/>
        <a:ln w="9525" algn="ctr">
          <a:noFill/>
          <a:miter lim="800000"/>
          <a:headEnd/>
          <a:tailEnd/>
        </a:ln>
      </xdr:spPr>
      <xdr:txBody>
        <a:bodyPr/>
        <a:lstStyle/>
        <a:p>
          <a:endParaRPr lang="en-US" sz="6000">
            <a:solidFill>
              <a:srgbClr val="FF000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22</xdr:col>
      <xdr:colOff>0</xdr:colOff>
      <xdr:row>18</xdr:row>
      <xdr:rowOff>0</xdr:rowOff>
    </xdr:from>
    <xdr:to>
      <xdr:col>26</xdr:col>
      <xdr:colOff>0</xdr:colOff>
      <xdr:row>24</xdr:row>
      <xdr:rowOff>0</xdr:rowOff>
    </xdr:to>
    <xdr:sp macro="[0]!ClearNumbersOnly" textlink="">
      <xdr:nvSpPr>
        <xdr:cNvPr id="3" name="TextBox 2">
          <a:extLst>
            <a:ext uri="{FF2B5EF4-FFF2-40B4-BE49-F238E27FC236}">
              <a16:creationId xmlns:a16="http://schemas.microsoft.com/office/drawing/2014/main" id="{C70AE950-64D8-472C-9A59-3761849D9B39}"/>
            </a:ext>
          </a:extLst>
        </xdr:cNvPr>
        <xdr:cNvSpPr txBox="1"/>
      </xdr:nvSpPr>
      <xdr:spPr>
        <a:xfrm>
          <a:off x="7437120" y="2179320"/>
          <a:ext cx="2499360" cy="8001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18288" bIns="18288" rtlCol="0" anchor="t"/>
        <a:lstStyle/>
        <a:p>
          <a:pPr algn="ctr"/>
          <a:r>
            <a:rPr lang="en-US" sz="2400" b="1"/>
            <a:t>Clear All</a:t>
          </a:r>
          <a:r>
            <a:rPr lang="en-US" sz="2400" b="1" baseline="0"/>
            <a:t> Semester Numbers</a:t>
          </a:r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9</xdr:row>
      <xdr:rowOff>30480</xdr:rowOff>
    </xdr:from>
    <xdr:to>
      <xdr:col>4</xdr:col>
      <xdr:colOff>0</xdr:colOff>
      <xdr:row>10</xdr:row>
      <xdr:rowOff>49530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F8489EC-AB7F-4927-A478-67A39F4E22F7}"/>
            </a:ext>
          </a:extLst>
        </xdr:cNvPr>
        <xdr:cNvCxnSpPr/>
      </xdr:nvCxnSpPr>
      <xdr:spPr bwMode="auto">
        <a:xfrm flipH="1" flipV="1">
          <a:off x="1824990" y="1417320"/>
          <a:ext cx="651510" cy="171450"/>
        </a:xfrm>
        <a:prstGeom prst="straightConnector1">
          <a:avLst/>
        </a:prstGeom>
        <a:ln>
          <a:headEnd type="none" w="med" len="med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11</xdr:row>
      <xdr:rowOff>15240</xdr:rowOff>
    </xdr:from>
    <xdr:to>
      <xdr:col>3</xdr:col>
      <xdr:colOff>666750</xdr:colOff>
      <xdr:row>11</xdr:row>
      <xdr:rowOff>26670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7D5C36EE-AD69-4D0F-A738-CCB55FD2A31E}"/>
            </a:ext>
          </a:extLst>
        </xdr:cNvPr>
        <xdr:cNvCxnSpPr/>
      </xdr:nvCxnSpPr>
      <xdr:spPr bwMode="auto">
        <a:xfrm flipH="1" flipV="1">
          <a:off x="1813560" y="1706880"/>
          <a:ext cx="659130" cy="11430"/>
        </a:xfrm>
        <a:prstGeom prst="straightConnector1">
          <a:avLst/>
        </a:prstGeom>
        <a:ln>
          <a:headEnd type="none" w="med" len="med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12</xdr:row>
      <xdr:rowOff>7620</xdr:rowOff>
    </xdr:from>
    <xdr:to>
      <xdr:col>3</xdr:col>
      <xdr:colOff>666750</xdr:colOff>
      <xdr:row>13</xdr:row>
      <xdr:rowOff>15240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565E91B2-D9B1-4D6E-B7D1-D0B8FA7876D9}"/>
            </a:ext>
          </a:extLst>
        </xdr:cNvPr>
        <xdr:cNvCxnSpPr/>
      </xdr:nvCxnSpPr>
      <xdr:spPr bwMode="auto">
        <a:xfrm flipH="1">
          <a:off x="1813560" y="1851660"/>
          <a:ext cx="659130" cy="160020"/>
        </a:xfrm>
        <a:prstGeom prst="straightConnector1">
          <a:avLst/>
        </a:prstGeom>
        <a:ln>
          <a:headEnd type="none" w="med" len="med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2</xdr:row>
      <xdr:rowOff>99060</xdr:rowOff>
    </xdr:from>
    <xdr:to>
      <xdr:col>39</xdr:col>
      <xdr:colOff>643890</xdr:colOff>
      <xdr:row>3</xdr:row>
      <xdr:rowOff>114300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5BD1EC97-47E7-4314-9F27-E4EC1DA28510}"/>
            </a:ext>
          </a:extLst>
        </xdr:cNvPr>
        <xdr:cNvCxnSpPr/>
      </xdr:nvCxnSpPr>
      <xdr:spPr bwMode="auto">
        <a:xfrm flipH="1" flipV="1">
          <a:off x="21697950" y="419100"/>
          <a:ext cx="624840" cy="167640"/>
        </a:xfrm>
        <a:prstGeom prst="straightConnector1">
          <a:avLst/>
        </a:prstGeom>
        <a:ln>
          <a:headEnd type="none" w="med" len="med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26670</xdr:colOff>
      <xdr:row>4</xdr:row>
      <xdr:rowOff>64770</xdr:rowOff>
    </xdr:from>
    <xdr:to>
      <xdr:col>39</xdr:col>
      <xdr:colOff>643890</xdr:colOff>
      <xdr:row>4</xdr:row>
      <xdr:rowOff>72390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D43C3BBD-EF0A-41D1-93DE-4629EE27AA4D}"/>
            </a:ext>
          </a:extLst>
        </xdr:cNvPr>
        <xdr:cNvCxnSpPr/>
      </xdr:nvCxnSpPr>
      <xdr:spPr bwMode="auto">
        <a:xfrm flipH="1">
          <a:off x="21705570" y="689610"/>
          <a:ext cx="617220" cy="7620"/>
        </a:xfrm>
        <a:prstGeom prst="straightConnector1">
          <a:avLst/>
        </a:prstGeom>
        <a:ln>
          <a:headEnd type="none" w="med" len="med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22860</xdr:colOff>
      <xdr:row>5</xdr:row>
      <xdr:rowOff>22860</xdr:rowOff>
    </xdr:from>
    <xdr:to>
      <xdr:col>39</xdr:col>
      <xdr:colOff>640080</xdr:colOff>
      <xdr:row>6</xdr:row>
      <xdr:rowOff>72390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4C084490-68FC-4326-8487-503BFDE94F9D}"/>
            </a:ext>
          </a:extLst>
        </xdr:cNvPr>
        <xdr:cNvCxnSpPr/>
      </xdr:nvCxnSpPr>
      <xdr:spPr bwMode="auto">
        <a:xfrm flipH="1">
          <a:off x="21701760" y="800100"/>
          <a:ext cx="617220" cy="201930"/>
        </a:xfrm>
        <a:prstGeom prst="straightConnector1">
          <a:avLst/>
        </a:prstGeom>
        <a:ln>
          <a:headEnd type="none" w="med" len="med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catalog.gatech.edu/academics/undergraduate/core-curriculum/core-area-c/" TargetMode="External"/><Relationship Id="rId7" Type="http://schemas.openxmlformats.org/officeDocument/2006/relationships/hyperlink" Target="http://www.me.gatech.edu/undergraduate/ug-curr/concentrations" TargetMode="External"/><Relationship Id="rId2" Type="http://schemas.openxmlformats.org/officeDocument/2006/relationships/hyperlink" Target="http://[s0l0];/" TargetMode="External"/><Relationship Id="rId1" Type="http://schemas.openxmlformats.org/officeDocument/2006/relationships/hyperlink" Target="http://www.catalog.gatech.edu/students/ugrad/core/ethics.php" TargetMode="External"/><Relationship Id="rId6" Type="http://schemas.openxmlformats.org/officeDocument/2006/relationships/hyperlink" Target="http://www.me.gatech.edu/undergraduate/ug-curr" TargetMode="External"/><Relationship Id="rId5" Type="http://schemas.openxmlformats.org/officeDocument/2006/relationships/hyperlink" Target="http://catalog.gatech.edu/academics/undergraduate/core-curriculum/ethics/" TargetMode="External"/><Relationship Id="rId4" Type="http://schemas.openxmlformats.org/officeDocument/2006/relationships/hyperlink" Target="http://catalog.gatech.edu/academics/undergraduate/core-curriculum/core-area-e/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me.gatech.edu/files/ug/fallhints.pdf" TargetMode="External"/><Relationship Id="rId2" Type="http://schemas.openxmlformats.org/officeDocument/2006/relationships/hyperlink" Target="http://www.me.gatech.edu/files/ug/fallhints.pdf" TargetMode="External"/><Relationship Id="rId1" Type="http://schemas.openxmlformats.org/officeDocument/2006/relationships/hyperlink" Target="http://www.me.gatech.edu/files/ug/fallhints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www.me.gatech.edu/files/ug/fallhints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42"/>
  <sheetViews>
    <sheetView tabSelected="1" zoomScaleNormal="100" workbookViewId="0">
      <selection activeCell="V11" sqref="V11"/>
    </sheetView>
  </sheetViews>
  <sheetFormatPr defaultColWidth="9.109375" defaultRowHeight="12.75" customHeight="1" x14ac:dyDescent="0.25"/>
  <cols>
    <col min="1" max="1" width="0.5546875" style="2" customWidth="1"/>
    <col min="2" max="2" width="2.5546875" style="3" customWidth="1"/>
    <col min="3" max="3" width="2.88671875" style="2" customWidth="1"/>
    <col min="4" max="4" width="14.88671875" style="2" customWidth="1"/>
    <col min="5" max="5" width="1.88671875" style="7" customWidth="1"/>
    <col min="6" max="6" width="0.88671875" style="2" customWidth="1"/>
    <col min="7" max="7" width="13.33203125" style="2" customWidth="1"/>
    <col min="8" max="8" width="1.88671875" style="7" customWidth="1"/>
    <col min="9" max="9" width="0.88671875" style="2" customWidth="1"/>
    <col min="10" max="10" width="14.33203125" style="2" customWidth="1"/>
    <col min="11" max="11" width="1.88671875" style="7" customWidth="1"/>
    <col min="12" max="12" width="0.88671875" style="2" customWidth="1"/>
    <col min="13" max="13" width="13.44140625" style="2" customWidth="1"/>
    <col min="14" max="14" width="1.88671875" style="7" customWidth="1"/>
    <col min="15" max="15" width="0.88671875" style="2" customWidth="1"/>
    <col min="16" max="16" width="13.33203125" style="2" customWidth="1"/>
    <col min="17" max="17" width="1.88671875" style="7" customWidth="1"/>
    <col min="18" max="18" width="0.88671875" style="2" customWidth="1"/>
    <col min="19" max="19" width="12.109375" style="2" customWidth="1"/>
    <col min="20" max="20" width="1.88671875" style="2" customWidth="1"/>
    <col min="21" max="21" width="0.88671875" style="2" customWidth="1"/>
    <col min="22" max="22" width="4.33203125" style="2" customWidth="1"/>
    <col min="23" max="26" width="9.109375" style="2"/>
    <col min="27" max="27" width="4.6640625" style="2" customWidth="1"/>
    <col min="28" max="28" width="11.5546875" style="2" customWidth="1"/>
    <col min="29" max="29" width="2" style="2" customWidth="1"/>
    <col min="30" max="30" width="1.109375" style="2" customWidth="1"/>
    <col min="31" max="31" width="11.5546875" style="2" customWidth="1"/>
    <col min="32" max="32" width="2" style="2" customWidth="1"/>
    <col min="33" max="33" width="1.109375" style="2" customWidth="1"/>
    <col min="34" max="34" width="11.5546875" style="2" customWidth="1"/>
    <col min="35" max="35" width="2" style="2" customWidth="1"/>
    <col min="36" max="36" width="1.109375" style="2" customWidth="1"/>
    <col min="37" max="37" width="11.5546875" style="2" customWidth="1"/>
    <col min="38" max="38" width="2" style="2" customWidth="1"/>
    <col min="39" max="39" width="1.109375" style="2" customWidth="1"/>
    <col min="40" max="40" width="11.5546875" style="2" customWidth="1"/>
    <col min="41" max="41" width="2" style="2" customWidth="1"/>
    <col min="42" max="42" width="1.109375" style="2" customWidth="1"/>
    <col min="43" max="16384" width="9.109375" style="2"/>
  </cols>
  <sheetData>
    <row r="1" spans="1:42" ht="20.25" customHeight="1" thickBot="1" x14ac:dyDescent="0.3">
      <c r="A1" s="325" t="s">
        <v>281</v>
      </c>
      <c r="B1" s="325"/>
      <c r="C1" s="325"/>
      <c r="D1" s="9"/>
      <c r="E1" s="9"/>
      <c r="F1" s="9"/>
      <c r="G1" s="9"/>
      <c r="H1" s="9"/>
      <c r="I1" s="9"/>
      <c r="J1" s="6"/>
      <c r="K1" s="6" t="s">
        <v>174</v>
      </c>
      <c r="L1" s="9"/>
      <c r="M1" s="9"/>
      <c r="N1" s="9"/>
      <c r="O1" s="9"/>
      <c r="P1" s="9"/>
      <c r="Q1" s="9"/>
      <c r="R1" s="9"/>
      <c r="S1" s="9"/>
      <c r="T1" s="333"/>
      <c r="U1" s="333"/>
      <c r="AB1" s="209" t="s">
        <v>163</v>
      </c>
    </row>
    <row r="2" spans="1:42" ht="3" customHeight="1" x14ac:dyDescent="0.25">
      <c r="A2" s="86"/>
      <c r="B2" s="80"/>
      <c r="C2" s="70"/>
      <c r="D2" s="70"/>
      <c r="E2" s="81"/>
      <c r="F2" s="70"/>
      <c r="G2" s="70"/>
      <c r="H2" s="81"/>
      <c r="I2" s="70"/>
      <c r="J2" s="70"/>
      <c r="K2" s="81"/>
      <c r="L2" s="70"/>
      <c r="M2" s="70"/>
      <c r="N2" s="81"/>
      <c r="O2" s="70"/>
      <c r="P2" s="70"/>
      <c r="Q2" s="81"/>
      <c r="R2" s="70"/>
      <c r="S2" s="70"/>
      <c r="T2" s="70"/>
      <c r="U2" s="71"/>
    </row>
    <row r="3" spans="1:42" ht="12.75" customHeight="1" x14ac:dyDescent="0.25">
      <c r="A3" s="87"/>
      <c r="B3" s="299" t="s">
        <v>148</v>
      </c>
      <c r="C3" s="320" t="s">
        <v>0</v>
      </c>
      <c r="D3" s="150" t="s">
        <v>1</v>
      </c>
      <c r="E3" s="304"/>
      <c r="F3" s="85"/>
      <c r="G3" s="150" t="s">
        <v>111</v>
      </c>
      <c r="H3" s="304"/>
      <c r="I3" s="85"/>
      <c r="J3" s="150" t="s">
        <v>147</v>
      </c>
      <c r="K3" s="304"/>
      <c r="L3" s="85"/>
      <c r="M3" s="197"/>
      <c r="N3" s="198"/>
      <c r="O3" s="147"/>
      <c r="P3" s="150" t="s">
        <v>2</v>
      </c>
      <c r="Q3" s="304"/>
      <c r="R3" s="72"/>
      <c r="S3" s="197"/>
      <c r="T3" s="198"/>
      <c r="U3" s="73"/>
      <c r="AB3" s="194"/>
      <c r="AC3" s="195"/>
      <c r="AD3" s="173"/>
      <c r="AE3" s="194"/>
      <c r="AF3" s="195"/>
      <c r="AG3" s="173"/>
      <c r="AH3" s="194"/>
      <c r="AI3" s="195"/>
      <c r="AJ3" s="173"/>
      <c r="AK3" s="194"/>
      <c r="AL3" s="195"/>
      <c r="AM3" s="173"/>
      <c r="AN3" s="194"/>
      <c r="AO3" s="195"/>
      <c r="AP3" s="35"/>
    </row>
    <row r="4" spans="1:42" ht="11.25" customHeight="1" x14ac:dyDescent="0.25">
      <c r="A4" s="87"/>
      <c r="B4" s="299"/>
      <c r="C4" s="320"/>
      <c r="D4" s="301" t="s">
        <v>39</v>
      </c>
      <c r="E4" s="306"/>
      <c r="F4" s="72"/>
      <c r="G4" s="301" t="s">
        <v>112</v>
      </c>
      <c r="H4" s="306"/>
      <c r="I4" s="72"/>
      <c r="J4" s="301" t="s">
        <v>113</v>
      </c>
      <c r="K4" s="334"/>
      <c r="L4" s="72"/>
      <c r="M4" s="151" t="s">
        <v>136</v>
      </c>
      <c r="N4" s="309"/>
      <c r="O4" s="72"/>
      <c r="P4" s="301" t="s">
        <v>4</v>
      </c>
      <c r="Q4" s="334"/>
      <c r="R4" s="72"/>
      <c r="S4" s="151" t="s">
        <v>3</v>
      </c>
      <c r="T4" s="309"/>
      <c r="U4" s="73"/>
      <c r="AB4" s="403" t="s">
        <v>154</v>
      </c>
      <c r="AC4" s="309"/>
      <c r="AD4" s="72"/>
      <c r="AE4" s="403" t="s">
        <v>154</v>
      </c>
      <c r="AF4" s="309"/>
      <c r="AG4" s="72"/>
      <c r="AH4" s="403" t="s">
        <v>154</v>
      </c>
      <c r="AI4" s="309"/>
      <c r="AJ4" s="72"/>
      <c r="AK4" s="403" t="s">
        <v>154</v>
      </c>
      <c r="AL4" s="309"/>
      <c r="AM4" s="72"/>
      <c r="AN4" s="403" t="s">
        <v>154</v>
      </c>
      <c r="AO4" s="309"/>
      <c r="AP4" s="35"/>
    </row>
    <row r="5" spans="1:42" ht="12.75" customHeight="1" x14ac:dyDescent="0.25">
      <c r="A5" s="87"/>
      <c r="B5" s="299"/>
      <c r="C5" s="320"/>
      <c r="D5" s="301"/>
      <c r="E5" s="306"/>
      <c r="F5" s="72"/>
      <c r="G5" s="301"/>
      <c r="H5" s="306"/>
      <c r="I5" s="72"/>
      <c r="J5" s="301"/>
      <c r="K5" s="306"/>
      <c r="L5" s="72"/>
      <c r="M5" s="317" t="s">
        <v>134</v>
      </c>
      <c r="N5" s="395"/>
      <c r="O5" s="72"/>
      <c r="P5" s="301"/>
      <c r="Q5" s="306"/>
      <c r="R5" s="72"/>
      <c r="S5" s="366" t="s">
        <v>110</v>
      </c>
      <c r="T5" s="395"/>
      <c r="U5" s="73"/>
      <c r="AB5" s="403"/>
      <c r="AC5" s="401"/>
      <c r="AD5" s="72"/>
      <c r="AE5" s="403"/>
      <c r="AF5" s="401"/>
      <c r="AG5" s="72"/>
      <c r="AH5" s="403"/>
      <c r="AI5" s="401"/>
      <c r="AJ5" s="72"/>
      <c r="AK5" s="403"/>
      <c r="AL5" s="401"/>
      <c r="AM5" s="72"/>
      <c r="AN5" s="403"/>
      <c r="AO5" s="401"/>
      <c r="AP5" s="35"/>
    </row>
    <row r="6" spans="1:42" ht="10.5" customHeight="1" x14ac:dyDescent="0.25">
      <c r="A6" s="87"/>
      <c r="B6" s="299"/>
      <c r="C6" s="320"/>
      <c r="D6" s="145" t="s">
        <v>85</v>
      </c>
      <c r="E6" s="306"/>
      <c r="F6" s="72"/>
      <c r="G6" s="152" t="s">
        <v>5</v>
      </c>
      <c r="H6" s="306"/>
      <c r="I6" s="72"/>
      <c r="J6" s="152" t="s">
        <v>5</v>
      </c>
      <c r="K6" s="306"/>
      <c r="L6" s="72"/>
      <c r="M6" s="317"/>
      <c r="N6" s="395"/>
      <c r="O6" s="72"/>
      <c r="P6" s="301"/>
      <c r="Q6" s="306"/>
      <c r="R6" s="72"/>
      <c r="S6" s="397"/>
      <c r="T6" s="395"/>
      <c r="U6" s="89"/>
      <c r="AB6" s="403"/>
      <c r="AC6" s="401"/>
      <c r="AD6" s="72"/>
      <c r="AE6" s="403"/>
      <c r="AF6" s="401"/>
      <c r="AG6" s="72"/>
      <c r="AH6" s="403"/>
      <c r="AI6" s="401"/>
      <c r="AJ6" s="72"/>
      <c r="AK6" s="403"/>
      <c r="AL6" s="401"/>
      <c r="AM6" s="72"/>
      <c r="AN6" s="403"/>
      <c r="AO6" s="401"/>
      <c r="AP6" s="35"/>
    </row>
    <row r="7" spans="1:42" ht="9" customHeight="1" x14ac:dyDescent="0.25">
      <c r="A7" s="87"/>
      <c r="B7" s="299"/>
      <c r="C7" s="320"/>
      <c r="D7" s="329" t="s">
        <v>64</v>
      </c>
      <c r="E7" s="307"/>
      <c r="F7" s="72"/>
      <c r="G7" s="331" t="s">
        <v>67</v>
      </c>
      <c r="H7" s="307"/>
      <c r="I7" s="72"/>
      <c r="J7" s="331" t="s">
        <v>67</v>
      </c>
      <c r="K7" s="307"/>
      <c r="L7" s="72"/>
      <c r="M7" s="136" t="s">
        <v>135</v>
      </c>
      <c r="N7" s="396"/>
      <c r="O7" s="72"/>
      <c r="P7" s="331" t="s">
        <v>66</v>
      </c>
      <c r="Q7" s="307"/>
      <c r="R7" s="72"/>
      <c r="S7" s="331" t="s">
        <v>67</v>
      </c>
      <c r="T7" s="396"/>
      <c r="U7" s="90"/>
      <c r="AB7" s="403"/>
      <c r="AC7" s="401"/>
      <c r="AD7" s="72"/>
      <c r="AE7" s="403"/>
      <c r="AF7" s="401"/>
      <c r="AG7" s="72"/>
      <c r="AH7" s="403"/>
      <c r="AI7" s="401"/>
      <c r="AJ7" s="72"/>
      <c r="AK7" s="403"/>
      <c r="AL7" s="401"/>
      <c r="AM7" s="72"/>
      <c r="AN7" s="403"/>
      <c r="AO7" s="401"/>
      <c r="AP7" s="35"/>
    </row>
    <row r="8" spans="1:42" ht="11.25" customHeight="1" x14ac:dyDescent="0.25">
      <c r="A8" s="87"/>
      <c r="B8" s="299"/>
      <c r="C8" s="320"/>
      <c r="D8" s="330"/>
      <c r="E8" s="162"/>
      <c r="F8" s="72"/>
      <c r="G8" s="332"/>
      <c r="H8" s="162"/>
      <c r="I8" s="72"/>
      <c r="J8" s="332"/>
      <c r="K8" s="162"/>
      <c r="L8" s="72"/>
      <c r="M8" s="160" t="s">
        <v>66</v>
      </c>
      <c r="N8" s="162"/>
      <c r="O8" s="72"/>
      <c r="P8" s="332"/>
      <c r="Q8" s="163"/>
      <c r="R8" s="72"/>
      <c r="S8" s="332"/>
      <c r="T8" s="164"/>
      <c r="U8" s="90"/>
      <c r="AB8" s="404"/>
      <c r="AC8" s="402"/>
      <c r="AD8" s="72"/>
      <c r="AE8" s="404"/>
      <c r="AF8" s="402"/>
      <c r="AG8" s="72"/>
      <c r="AH8" s="404"/>
      <c r="AI8" s="402"/>
      <c r="AJ8" s="72"/>
      <c r="AK8" s="404"/>
      <c r="AL8" s="402"/>
      <c r="AM8" s="72"/>
      <c r="AN8" s="404"/>
      <c r="AO8" s="402"/>
      <c r="AP8" s="35"/>
    </row>
    <row r="9" spans="1:42" ht="3" customHeight="1" x14ac:dyDescent="0.25">
      <c r="A9" s="87"/>
      <c r="B9" s="299"/>
      <c r="C9" s="157"/>
      <c r="D9" s="72"/>
      <c r="E9" s="82"/>
      <c r="F9" s="72"/>
      <c r="G9" s="72"/>
      <c r="H9" s="82"/>
      <c r="I9" s="72"/>
      <c r="J9" s="72"/>
      <c r="K9" s="82"/>
      <c r="L9" s="72"/>
      <c r="M9" s="72"/>
      <c r="N9" s="82"/>
      <c r="O9" s="72"/>
      <c r="P9" s="72"/>
      <c r="Q9" s="82"/>
      <c r="R9" s="72"/>
      <c r="S9" s="72"/>
      <c r="T9" s="72"/>
      <c r="U9" s="90"/>
      <c r="AB9" s="72"/>
      <c r="AC9" s="82"/>
      <c r="AD9" s="72"/>
      <c r="AE9" s="72"/>
      <c r="AF9" s="82"/>
      <c r="AG9" s="72"/>
      <c r="AH9" s="72"/>
      <c r="AI9" s="82"/>
      <c r="AJ9" s="72"/>
      <c r="AK9" s="72"/>
      <c r="AL9" s="82"/>
      <c r="AM9" s="72"/>
      <c r="AN9" s="72"/>
      <c r="AO9" s="82"/>
      <c r="AP9" s="35"/>
    </row>
    <row r="10" spans="1:42" ht="12.75" customHeight="1" x14ac:dyDescent="0.25">
      <c r="A10" s="87"/>
      <c r="B10" s="299"/>
      <c r="C10" s="320" t="s">
        <v>7</v>
      </c>
      <c r="D10" s="150" t="s">
        <v>8</v>
      </c>
      <c r="E10" s="304"/>
      <c r="F10" s="85"/>
      <c r="G10" s="150" t="s">
        <v>114</v>
      </c>
      <c r="H10" s="304"/>
      <c r="I10" s="85"/>
      <c r="J10" s="150" t="s">
        <v>9</v>
      </c>
      <c r="K10" s="304"/>
      <c r="L10" s="85"/>
      <c r="M10" s="150" t="s">
        <v>166</v>
      </c>
      <c r="N10" s="304"/>
      <c r="O10" s="85"/>
      <c r="P10" s="150" t="s">
        <v>10</v>
      </c>
      <c r="Q10" s="304"/>
      <c r="R10" s="72"/>
      <c r="S10" s="368" t="s">
        <v>6</v>
      </c>
      <c r="T10" s="368"/>
      <c r="U10" s="73"/>
      <c r="AB10" s="194"/>
      <c r="AC10" s="195"/>
      <c r="AD10" s="173"/>
      <c r="AE10" s="194"/>
      <c r="AF10" s="195"/>
      <c r="AG10" s="173"/>
      <c r="AH10" s="194"/>
      <c r="AI10" s="195"/>
      <c r="AJ10" s="173"/>
      <c r="AK10" s="194"/>
      <c r="AL10" s="195"/>
      <c r="AM10" s="173"/>
      <c r="AN10" s="194"/>
      <c r="AO10" s="195"/>
      <c r="AP10" s="35"/>
    </row>
    <row r="11" spans="1:42" ht="10.5" customHeight="1" x14ac:dyDescent="0.25">
      <c r="A11" s="87"/>
      <c r="B11" s="299"/>
      <c r="C11" s="320"/>
      <c r="D11" s="302" t="s">
        <v>11</v>
      </c>
      <c r="E11" s="321"/>
      <c r="F11" s="72"/>
      <c r="G11" s="301" t="s">
        <v>115</v>
      </c>
      <c r="H11" s="321"/>
      <c r="I11" s="72"/>
      <c r="J11" s="301" t="s">
        <v>132</v>
      </c>
      <c r="K11" s="321"/>
      <c r="L11" s="72"/>
      <c r="M11" s="314" t="s">
        <v>253</v>
      </c>
      <c r="N11" s="321"/>
      <c r="O11" s="72"/>
      <c r="P11" s="301" t="s">
        <v>12</v>
      </c>
      <c r="Q11" s="321"/>
      <c r="R11" s="72"/>
      <c r="S11" s="132"/>
      <c r="T11" s="132"/>
      <c r="U11" s="133"/>
      <c r="AB11" s="403" t="s">
        <v>154</v>
      </c>
      <c r="AC11" s="309"/>
      <c r="AD11" s="72"/>
      <c r="AE11" s="403" t="s">
        <v>154</v>
      </c>
      <c r="AF11" s="309"/>
      <c r="AG11" s="72"/>
      <c r="AH11" s="403" t="s">
        <v>154</v>
      </c>
      <c r="AI11" s="309"/>
      <c r="AJ11" s="72"/>
      <c r="AK11" s="403" t="s">
        <v>154</v>
      </c>
      <c r="AL11" s="309"/>
      <c r="AM11" s="72"/>
      <c r="AN11" s="403" t="s">
        <v>154</v>
      </c>
      <c r="AO11" s="309"/>
      <c r="AP11" s="35"/>
    </row>
    <row r="12" spans="1:42" ht="10.5" customHeight="1" x14ac:dyDescent="0.25">
      <c r="A12" s="87"/>
      <c r="B12" s="299"/>
      <c r="C12" s="320"/>
      <c r="D12" s="302"/>
      <c r="E12" s="321"/>
      <c r="F12" s="72"/>
      <c r="G12" s="301"/>
      <c r="H12" s="321"/>
      <c r="I12" s="72"/>
      <c r="J12" s="301"/>
      <c r="K12" s="321"/>
      <c r="L12" s="72"/>
      <c r="M12" s="314"/>
      <c r="N12" s="321"/>
      <c r="O12" s="72"/>
      <c r="P12" s="301"/>
      <c r="Q12" s="321"/>
      <c r="R12" s="72"/>
      <c r="S12" s="72"/>
      <c r="T12" s="72"/>
      <c r="U12" s="73"/>
      <c r="AB12" s="403"/>
      <c r="AC12" s="401"/>
      <c r="AD12" s="72"/>
      <c r="AE12" s="403"/>
      <c r="AF12" s="401"/>
      <c r="AG12" s="72"/>
      <c r="AH12" s="403"/>
      <c r="AI12" s="401"/>
      <c r="AJ12" s="72"/>
      <c r="AK12" s="403"/>
      <c r="AL12" s="401"/>
      <c r="AM12" s="72"/>
      <c r="AN12" s="403"/>
      <c r="AO12" s="401"/>
      <c r="AP12" s="35"/>
    </row>
    <row r="13" spans="1:42" ht="10.5" customHeight="1" x14ac:dyDescent="0.25">
      <c r="A13" s="87"/>
      <c r="B13" s="299"/>
      <c r="C13" s="320"/>
      <c r="D13" s="145" t="s">
        <v>5</v>
      </c>
      <c r="E13" s="321"/>
      <c r="F13" s="72"/>
      <c r="G13" s="152" t="s">
        <v>5</v>
      </c>
      <c r="H13" s="321"/>
      <c r="I13" s="72"/>
      <c r="J13" s="301"/>
      <c r="K13" s="321"/>
      <c r="L13" s="72"/>
      <c r="M13" s="290" t="s">
        <v>254</v>
      </c>
      <c r="N13" s="321"/>
      <c r="O13" s="72"/>
      <c r="P13" s="301"/>
      <c r="Q13" s="321"/>
      <c r="R13" s="72"/>
      <c r="S13" s="368" t="s">
        <v>54</v>
      </c>
      <c r="T13" s="368"/>
      <c r="U13" s="369"/>
      <c r="AB13" s="403"/>
      <c r="AC13" s="401"/>
      <c r="AD13" s="72"/>
      <c r="AE13" s="403"/>
      <c r="AF13" s="401"/>
      <c r="AG13" s="72"/>
      <c r="AH13" s="403"/>
      <c r="AI13" s="401"/>
      <c r="AJ13" s="72"/>
      <c r="AK13" s="403"/>
      <c r="AL13" s="401"/>
      <c r="AM13" s="72"/>
      <c r="AN13" s="403"/>
      <c r="AO13" s="401"/>
      <c r="AP13" s="35"/>
    </row>
    <row r="14" spans="1:42" ht="11.25" customHeight="1" x14ac:dyDescent="0.25">
      <c r="A14" s="87"/>
      <c r="B14" s="299"/>
      <c r="C14" s="320"/>
      <c r="D14" s="57" t="s">
        <v>64</v>
      </c>
      <c r="E14" s="322"/>
      <c r="F14" s="72"/>
      <c r="G14" s="59" t="s">
        <v>65</v>
      </c>
      <c r="H14" s="322"/>
      <c r="I14" s="72"/>
      <c r="J14" s="301"/>
      <c r="K14" s="322"/>
      <c r="L14" s="72"/>
      <c r="M14" s="152" t="s">
        <v>86</v>
      </c>
      <c r="N14" s="322"/>
      <c r="O14" s="72"/>
      <c r="P14" s="59" t="s">
        <v>66</v>
      </c>
      <c r="Q14" s="322"/>
      <c r="R14" s="72"/>
      <c r="S14" s="72"/>
      <c r="T14" s="72"/>
      <c r="U14" s="73"/>
      <c r="AB14" s="403"/>
      <c r="AC14" s="401"/>
      <c r="AD14" s="72"/>
      <c r="AE14" s="403"/>
      <c r="AF14" s="401"/>
      <c r="AG14" s="72"/>
      <c r="AH14" s="403"/>
      <c r="AI14" s="401"/>
      <c r="AJ14" s="72"/>
      <c r="AK14" s="403"/>
      <c r="AL14" s="401"/>
      <c r="AM14" s="72"/>
      <c r="AN14" s="403"/>
      <c r="AO14" s="401"/>
      <c r="AP14" s="35"/>
    </row>
    <row r="15" spans="1:42" ht="11.25" customHeight="1" x14ac:dyDescent="0.25">
      <c r="A15" s="87"/>
      <c r="B15" s="299"/>
      <c r="C15" s="320"/>
      <c r="D15" s="58" t="s">
        <v>130</v>
      </c>
      <c r="E15" s="162"/>
      <c r="F15" s="72"/>
      <c r="G15" s="58" t="s">
        <v>111</v>
      </c>
      <c r="H15" s="162"/>
      <c r="I15" s="72"/>
      <c r="J15" s="160" t="s">
        <v>66</v>
      </c>
      <c r="K15" s="162"/>
      <c r="L15" s="72"/>
      <c r="M15" s="160" t="s">
        <v>68</v>
      </c>
      <c r="N15" s="165"/>
      <c r="O15" s="72"/>
      <c r="P15" s="58" t="s">
        <v>2</v>
      </c>
      <c r="Q15" s="163"/>
      <c r="R15" s="72"/>
      <c r="S15" s="72"/>
      <c r="T15" s="72"/>
      <c r="U15" s="73"/>
      <c r="AB15" s="404"/>
      <c r="AC15" s="402"/>
      <c r="AD15" s="72"/>
      <c r="AE15" s="404"/>
      <c r="AF15" s="402"/>
      <c r="AG15" s="72"/>
      <c r="AH15" s="404"/>
      <c r="AI15" s="402"/>
      <c r="AJ15" s="72"/>
      <c r="AK15" s="404"/>
      <c r="AL15" s="402"/>
      <c r="AM15" s="72"/>
      <c r="AN15" s="404"/>
      <c r="AO15" s="402"/>
      <c r="AP15" s="35"/>
    </row>
    <row r="16" spans="1:42" ht="3" customHeight="1" thickBot="1" x14ac:dyDescent="0.3">
      <c r="A16" s="79"/>
      <c r="B16" s="155"/>
      <c r="C16" s="83"/>
      <c r="D16" s="74"/>
      <c r="E16" s="84"/>
      <c r="F16" s="74"/>
      <c r="G16" s="74"/>
      <c r="H16" s="84"/>
      <c r="I16" s="74"/>
      <c r="J16" s="74"/>
      <c r="K16" s="84"/>
      <c r="L16" s="74"/>
      <c r="M16" s="74"/>
      <c r="N16" s="84"/>
      <c r="O16" s="74"/>
      <c r="P16" s="74"/>
      <c r="Q16" s="84"/>
      <c r="R16" s="74"/>
      <c r="S16" s="74"/>
      <c r="T16" s="74"/>
      <c r="U16" s="75"/>
    </row>
    <row r="17" spans="1:44" ht="3" customHeight="1" x14ac:dyDescent="0.25">
      <c r="A17" s="19"/>
      <c r="B17" s="20"/>
      <c r="C17" s="21"/>
      <c r="D17" s="11"/>
      <c r="E17" s="22"/>
      <c r="F17" s="11"/>
      <c r="G17" s="11"/>
      <c r="H17" s="22"/>
      <c r="I17" s="11"/>
      <c r="J17" s="11"/>
      <c r="K17" s="22"/>
      <c r="L17" s="11"/>
      <c r="M17" s="11"/>
      <c r="N17" s="22"/>
      <c r="O17" s="11"/>
      <c r="P17" s="11"/>
      <c r="Q17" s="22"/>
      <c r="R17" s="11"/>
      <c r="S17" s="11"/>
      <c r="T17" s="11"/>
      <c r="U17" s="12"/>
    </row>
    <row r="18" spans="1:44" ht="9" customHeight="1" x14ac:dyDescent="0.25">
      <c r="A18" s="25"/>
      <c r="B18" s="299" t="s">
        <v>149</v>
      </c>
      <c r="C18" s="300" t="s">
        <v>0</v>
      </c>
      <c r="D18" s="323" t="s">
        <v>13</v>
      </c>
      <c r="E18" s="304"/>
      <c r="F18" s="23"/>
      <c r="G18" s="199"/>
      <c r="H18" s="200"/>
      <c r="I18" s="23"/>
      <c r="J18" s="323" t="s">
        <v>43</v>
      </c>
      <c r="K18" s="308"/>
      <c r="L18" s="23"/>
      <c r="M18" s="323" t="s">
        <v>14</v>
      </c>
      <c r="N18" s="304"/>
      <c r="O18" s="23"/>
      <c r="P18" s="323" t="s">
        <v>15</v>
      </c>
      <c r="Q18" s="304"/>
      <c r="R18" s="13"/>
      <c r="S18" s="13"/>
      <c r="T18" s="13"/>
      <c r="U18" s="14"/>
    </row>
    <row r="19" spans="1:44" ht="9" customHeight="1" x14ac:dyDescent="0.25">
      <c r="A19" s="25"/>
      <c r="B19" s="299"/>
      <c r="C19" s="300"/>
      <c r="D19" s="324"/>
      <c r="E19" s="305"/>
      <c r="F19" s="23"/>
      <c r="G19" s="201"/>
      <c r="H19" s="202"/>
      <c r="I19" s="23"/>
      <c r="J19" s="324"/>
      <c r="K19" s="309"/>
      <c r="L19" s="23"/>
      <c r="M19" s="324"/>
      <c r="N19" s="305"/>
      <c r="O19" s="23"/>
      <c r="P19" s="324"/>
      <c r="Q19" s="305"/>
      <c r="R19" s="13"/>
      <c r="S19" s="13"/>
      <c r="T19" s="13"/>
      <c r="U19" s="14"/>
      <c r="AB19" s="2" t="s">
        <v>162</v>
      </c>
    </row>
    <row r="20" spans="1:44" ht="12.75" customHeight="1" x14ac:dyDescent="0.25">
      <c r="A20" s="25"/>
      <c r="B20" s="299"/>
      <c r="C20" s="300"/>
      <c r="D20" s="324"/>
      <c r="E20" s="305"/>
      <c r="F20" s="23"/>
      <c r="G20" s="151" t="s">
        <v>116</v>
      </c>
      <c r="H20" s="309"/>
      <c r="I20" s="23"/>
      <c r="J20" s="324"/>
      <c r="K20" s="309"/>
      <c r="L20" s="23"/>
      <c r="M20" s="324"/>
      <c r="N20" s="305"/>
      <c r="O20" s="23"/>
      <c r="P20" s="324"/>
      <c r="Q20" s="305"/>
      <c r="R20" s="13"/>
      <c r="S20" s="13"/>
      <c r="T20" s="13"/>
      <c r="U20" s="14"/>
      <c r="AB20" s="196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214"/>
      <c r="AN20" s="214"/>
      <c r="AO20" s="214"/>
      <c r="AP20" s="214"/>
      <c r="AQ20" s="214"/>
      <c r="AR20" s="215"/>
    </row>
    <row r="21" spans="1:44" ht="10.5" customHeight="1" x14ac:dyDescent="0.25">
      <c r="A21" s="25"/>
      <c r="B21" s="299"/>
      <c r="C21" s="300"/>
      <c r="D21" s="302" t="s">
        <v>16</v>
      </c>
      <c r="E21" s="306"/>
      <c r="F21" s="13"/>
      <c r="G21" s="301" t="s">
        <v>117</v>
      </c>
      <c r="H21" s="309"/>
      <c r="I21" s="13"/>
      <c r="J21" s="303" t="s">
        <v>61</v>
      </c>
      <c r="K21" s="309"/>
      <c r="L21" s="13"/>
      <c r="M21" s="301" t="s">
        <v>17</v>
      </c>
      <c r="N21" s="306"/>
      <c r="O21" s="13"/>
      <c r="P21" s="301" t="s">
        <v>18</v>
      </c>
      <c r="Q21" s="306"/>
      <c r="R21" s="13"/>
      <c r="S21" s="13"/>
      <c r="T21" s="13"/>
      <c r="U21" s="14"/>
      <c r="AB21" s="216"/>
      <c r="AC21" s="217"/>
      <c r="AD21" s="217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217"/>
      <c r="AP21" s="217"/>
      <c r="AQ21" s="217"/>
      <c r="AR21" s="218"/>
    </row>
    <row r="22" spans="1:44" ht="10.5" customHeight="1" x14ac:dyDescent="0.25">
      <c r="A22" s="25"/>
      <c r="B22" s="299"/>
      <c r="C22" s="300"/>
      <c r="D22" s="302"/>
      <c r="E22" s="306"/>
      <c r="F22" s="13"/>
      <c r="G22" s="301"/>
      <c r="H22" s="309"/>
      <c r="I22" s="13"/>
      <c r="J22" s="303"/>
      <c r="K22" s="309"/>
      <c r="L22" s="13"/>
      <c r="M22" s="302"/>
      <c r="N22" s="306"/>
      <c r="O22" s="13"/>
      <c r="P22" s="301"/>
      <c r="Q22" s="306"/>
      <c r="R22" s="13"/>
      <c r="S22" s="15"/>
      <c r="T22" s="15"/>
      <c r="U22" s="16"/>
      <c r="AB22" s="216"/>
      <c r="AC22" s="217"/>
      <c r="AD22" s="217"/>
      <c r="AE22" s="217"/>
      <c r="AF22" s="217"/>
      <c r="AG22" s="217"/>
      <c r="AH22" s="217"/>
      <c r="AI22" s="217"/>
      <c r="AJ22" s="217"/>
      <c r="AK22" s="217"/>
      <c r="AL22" s="217"/>
      <c r="AM22" s="217"/>
      <c r="AN22" s="217"/>
      <c r="AO22" s="217"/>
      <c r="AP22" s="217"/>
      <c r="AQ22" s="217"/>
      <c r="AR22" s="218"/>
    </row>
    <row r="23" spans="1:44" ht="10.5" customHeight="1" x14ac:dyDescent="0.25">
      <c r="A23" s="25"/>
      <c r="B23" s="299"/>
      <c r="C23" s="300"/>
      <c r="D23" s="302"/>
      <c r="E23" s="306"/>
      <c r="F23" s="13"/>
      <c r="G23" s="152" t="s">
        <v>5</v>
      </c>
      <c r="H23" s="309"/>
      <c r="I23" s="13"/>
      <c r="J23" s="145" t="s">
        <v>86</v>
      </c>
      <c r="K23" s="309"/>
      <c r="L23" s="13"/>
      <c r="M23" s="302"/>
      <c r="N23" s="306"/>
      <c r="O23" s="13"/>
      <c r="P23" s="145" t="s">
        <v>5</v>
      </c>
      <c r="Q23" s="306"/>
      <c r="R23" s="13"/>
      <c r="S23" s="315" t="s">
        <v>6</v>
      </c>
      <c r="T23" s="315"/>
      <c r="U23" s="316"/>
      <c r="AB23" s="216"/>
      <c r="AC23" s="217"/>
      <c r="AD23" s="217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217"/>
      <c r="AP23" s="217"/>
      <c r="AQ23" s="217"/>
      <c r="AR23" s="218"/>
    </row>
    <row r="24" spans="1:44" ht="11.25" customHeight="1" x14ac:dyDescent="0.25">
      <c r="A24" s="25"/>
      <c r="B24" s="299"/>
      <c r="C24" s="300"/>
      <c r="D24" s="57" t="s">
        <v>64</v>
      </c>
      <c r="E24" s="307"/>
      <c r="F24" s="13"/>
      <c r="G24" s="59" t="s">
        <v>65</v>
      </c>
      <c r="H24" s="313"/>
      <c r="I24" s="13"/>
      <c r="J24" s="59" t="s">
        <v>68</v>
      </c>
      <c r="K24" s="313"/>
      <c r="L24" s="13"/>
      <c r="M24" s="59" t="s">
        <v>66</v>
      </c>
      <c r="N24" s="307"/>
      <c r="O24" s="13"/>
      <c r="P24" s="59" t="s">
        <v>67</v>
      </c>
      <c r="Q24" s="307"/>
      <c r="R24" s="13"/>
      <c r="S24" s="15"/>
      <c r="T24" s="15"/>
      <c r="U24" s="16"/>
      <c r="AB24" s="216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217"/>
      <c r="AP24" s="217"/>
      <c r="AQ24" s="217"/>
      <c r="AR24" s="218"/>
    </row>
    <row r="25" spans="1:44" ht="11.25" customHeight="1" x14ac:dyDescent="0.25">
      <c r="A25" s="25"/>
      <c r="B25" s="299"/>
      <c r="C25" s="300"/>
      <c r="D25" s="58" t="s">
        <v>8</v>
      </c>
      <c r="E25" s="162"/>
      <c r="F25" s="24"/>
      <c r="G25" s="58" t="s">
        <v>119</v>
      </c>
      <c r="H25" s="162">
        <f>MAX(4-SUM(H18:H19),0)</f>
        <v>4</v>
      </c>
      <c r="I25" s="24"/>
      <c r="J25" s="60" t="s">
        <v>167</v>
      </c>
      <c r="K25" s="166"/>
      <c r="L25" s="24"/>
      <c r="M25" s="58" t="s">
        <v>1</v>
      </c>
      <c r="N25" s="165"/>
      <c r="O25" s="24"/>
      <c r="P25" s="58" t="s">
        <v>120</v>
      </c>
      <c r="Q25" s="165"/>
      <c r="R25" s="13"/>
      <c r="S25" s="15"/>
      <c r="T25" s="15"/>
      <c r="U25" s="16"/>
      <c r="AB25" s="216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217"/>
      <c r="AQ25" s="217"/>
      <c r="AR25" s="218"/>
    </row>
    <row r="26" spans="1:44" ht="3" customHeight="1" x14ac:dyDescent="0.25">
      <c r="A26" s="25"/>
      <c r="B26" s="299"/>
      <c r="C26" s="17"/>
      <c r="D26" s="13"/>
      <c r="E26" s="18"/>
      <c r="F26" s="13"/>
      <c r="G26" s="13"/>
      <c r="H26" s="18"/>
      <c r="I26" s="13"/>
      <c r="J26" s="13"/>
      <c r="K26" s="18"/>
      <c r="L26" s="13"/>
      <c r="M26" s="13"/>
      <c r="N26" s="18"/>
      <c r="O26" s="13"/>
      <c r="P26" s="13"/>
      <c r="Q26" s="18"/>
      <c r="R26" s="13"/>
      <c r="S26" s="15"/>
      <c r="T26" s="15"/>
      <c r="U26" s="16"/>
      <c r="AB26" s="216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217"/>
      <c r="AP26" s="217"/>
      <c r="AQ26" s="217"/>
      <c r="AR26" s="218"/>
    </row>
    <row r="27" spans="1:44" ht="9" customHeight="1" x14ac:dyDescent="0.2">
      <c r="A27" s="25"/>
      <c r="B27" s="299"/>
      <c r="C27" s="300" t="s">
        <v>7</v>
      </c>
      <c r="D27" s="323" t="s">
        <v>19</v>
      </c>
      <c r="E27" s="308"/>
      <c r="F27" s="23"/>
      <c r="G27" s="199"/>
      <c r="H27" s="200"/>
      <c r="I27" s="23"/>
      <c r="J27" s="323" t="s">
        <v>40</v>
      </c>
      <c r="K27" s="304"/>
      <c r="L27" s="23"/>
      <c r="M27" s="199"/>
      <c r="N27" s="200"/>
      <c r="O27" s="23"/>
      <c r="P27" s="199"/>
      <c r="Q27" s="204"/>
      <c r="R27" s="13"/>
      <c r="S27" s="15"/>
      <c r="T27" s="15"/>
      <c r="U27" s="16"/>
      <c r="AB27" s="216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217"/>
      <c r="AQ27" s="217"/>
      <c r="AR27" s="218"/>
    </row>
    <row r="28" spans="1:44" ht="9" customHeight="1" x14ac:dyDescent="0.2">
      <c r="A28" s="25"/>
      <c r="B28" s="299"/>
      <c r="C28" s="300"/>
      <c r="D28" s="324"/>
      <c r="E28" s="309"/>
      <c r="F28" s="23"/>
      <c r="G28" s="201"/>
      <c r="H28" s="202"/>
      <c r="I28" s="23"/>
      <c r="J28" s="324"/>
      <c r="K28" s="305"/>
      <c r="L28" s="23"/>
      <c r="M28" s="201"/>
      <c r="N28" s="203"/>
      <c r="O28" s="23"/>
      <c r="P28" s="201"/>
      <c r="Q28" s="205"/>
      <c r="R28" s="13"/>
      <c r="S28" s="15"/>
      <c r="T28" s="15"/>
      <c r="U28" s="16"/>
      <c r="AB28" s="216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8"/>
    </row>
    <row r="29" spans="1:44" ht="12.75" customHeight="1" x14ac:dyDescent="0.2">
      <c r="A29" s="25"/>
      <c r="B29" s="299"/>
      <c r="C29" s="300"/>
      <c r="D29" s="324"/>
      <c r="E29" s="309"/>
      <c r="F29" s="23"/>
      <c r="G29" s="151" t="s">
        <v>118</v>
      </c>
      <c r="H29" s="309"/>
      <c r="I29" s="23"/>
      <c r="J29" s="324"/>
      <c r="K29" s="305"/>
      <c r="L29" s="23"/>
      <c r="M29" s="192" t="s">
        <v>41</v>
      </c>
      <c r="N29" s="309"/>
      <c r="O29" s="23"/>
      <c r="P29" s="201"/>
      <c r="Q29" s="206"/>
      <c r="R29" s="13"/>
      <c r="S29" s="15"/>
      <c r="T29" s="15"/>
      <c r="U29" s="16"/>
      <c r="AB29" s="216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217"/>
      <c r="AQ29" s="217"/>
      <c r="AR29" s="218"/>
    </row>
    <row r="30" spans="1:44" ht="9.75" customHeight="1" x14ac:dyDescent="0.25">
      <c r="A30" s="25"/>
      <c r="B30" s="299"/>
      <c r="C30" s="300"/>
      <c r="D30" s="364" t="s">
        <v>20</v>
      </c>
      <c r="E30" s="310"/>
      <c r="F30" s="13"/>
      <c r="G30" s="301" t="s">
        <v>21</v>
      </c>
      <c r="H30" s="309"/>
      <c r="I30" s="13"/>
      <c r="J30" s="301" t="s">
        <v>62</v>
      </c>
      <c r="K30" s="306"/>
      <c r="L30" s="13"/>
      <c r="M30" s="301" t="s">
        <v>42</v>
      </c>
      <c r="N30" s="309"/>
      <c r="O30" s="13"/>
      <c r="P30" s="367" t="s">
        <v>95</v>
      </c>
      <c r="Q30" s="309"/>
      <c r="R30" s="13"/>
      <c r="S30" s="15"/>
      <c r="T30" s="15"/>
      <c r="U30" s="16"/>
      <c r="AB30" s="216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218"/>
    </row>
    <row r="31" spans="1:44" ht="9.75" customHeight="1" x14ac:dyDescent="0.25">
      <c r="A31" s="25"/>
      <c r="B31" s="299"/>
      <c r="C31" s="300"/>
      <c r="D31" s="365"/>
      <c r="E31" s="310"/>
      <c r="F31" s="13"/>
      <c r="G31" s="301"/>
      <c r="H31" s="309"/>
      <c r="I31" s="13"/>
      <c r="J31" s="301"/>
      <c r="K31" s="306"/>
      <c r="L31" s="13"/>
      <c r="M31" s="302"/>
      <c r="N31" s="309"/>
      <c r="O31" s="13"/>
      <c r="P31" s="367"/>
      <c r="Q31" s="309"/>
      <c r="R31" s="13"/>
      <c r="S31" s="315" t="s">
        <v>22</v>
      </c>
      <c r="T31" s="315"/>
      <c r="U31" s="316"/>
      <c r="AB31" s="216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218"/>
    </row>
    <row r="32" spans="1:44" ht="9.75" customHeight="1" thickBot="1" x14ac:dyDescent="0.3">
      <c r="A32" s="25"/>
      <c r="B32" s="299"/>
      <c r="C32" s="300"/>
      <c r="D32" s="365"/>
      <c r="E32" s="310"/>
      <c r="F32" s="13"/>
      <c r="G32" s="152" t="s">
        <v>5</v>
      </c>
      <c r="H32" s="309"/>
      <c r="I32" s="13"/>
      <c r="J32" s="301"/>
      <c r="K32" s="306"/>
      <c r="L32" s="13"/>
      <c r="M32" s="302"/>
      <c r="N32" s="309"/>
      <c r="O32" s="13"/>
      <c r="P32" s="367"/>
      <c r="Q32" s="309"/>
      <c r="R32" s="13"/>
      <c r="S32" s="370"/>
      <c r="T32" s="370"/>
      <c r="U32" s="371"/>
      <c r="AB32" s="216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217"/>
      <c r="AP32" s="217"/>
      <c r="AQ32" s="217"/>
      <c r="AR32" s="218"/>
    </row>
    <row r="33" spans="1:44" ht="11.25" customHeight="1" x14ac:dyDescent="0.25">
      <c r="A33" s="25"/>
      <c r="B33" s="299"/>
      <c r="C33" s="300"/>
      <c r="D33" s="59" t="s">
        <v>67</v>
      </c>
      <c r="E33" s="311"/>
      <c r="F33" s="13"/>
      <c r="G33" s="59" t="s">
        <v>65</v>
      </c>
      <c r="H33" s="313"/>
      <c r="I33" s="13"/>
      <c r="J33" s="59" t="s">
        <v>66</v>
      </c>
      <c r="K33" s="307"/>
      <c r="L33" s="13"/>
      <c r="M33" s="59" t="s">
        <v>66</v>
      </c>
      <c r="N33" s="313"/>
      <c r="O33" s="13"/>
      <c r="P33" s="145" t="s">
        <v>155</v>
      </c>
      <c r="Q33" s="313"/>
      <c r="R33" s="34"/>
      <c r="S33" s="76"/>
      <c r="T33" s="77"/>
      <c r="U33" s="78"/>
      <c r="V33" s="8"/>
      <c r="AB33" s="216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217"/>
      <c r="AQ33" s="217"/>
      <c r="AR33" s="218"/>
    </row>
    <row r="34" spans="1:44" ht="16.5" customHeight="1" x14ac:dyDescent="0.25">
      <c r="A34" s="25"/>
      <c r="B34" s="299"/>
      <c r="C34" s="300"/>
      <c r="D34" s="61" t="s">
        <v>13</v>
      </c>
      <c r="E34" s="186"/>
      <c r="F34" s="24"/>
      <c r="G34" s="58" t="s">
        <v>119</v>
      </c>
      <c r="H34" s="162">
        <f>MAX(4-SUM(H27:H28),0)</f>
        <v>4</v>
      </c>
      <c r="I34" s="24"/>
      <c r="J34" s="60" t="s">
        <v>121</v>
      </c>
      <c r="K34" s="166"/>
      <c r="L34" s="24"/>
      <c r="M34" s="58" t="s">
        <v>129</v>
      </c>
      <c r="N34" s="166"/>
      <c r="O34" s="13"/>
      <c r="P34" s="62" t="s">
        <v>66</v>
      </c>
      <c r="Q34" s="162">
        <f>MAX(3-Q27-Q28-Q29,0)</f>
        <v>3</v>
      </c>
      <c r="R34" s="14"/>
      <c r="S34" s="326" t="s">
        <v>6</v>
      </c>
      <c r="T34" s="327"/>
      <c r="U34" s="328"/>
      <c r="AB34" s="216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217"/>
      <c r="AP34" s="217"/>
      <c r="AQ34" s="217"/>
      <c r="AR34" s="218"/>
    </row>
    <row r="35" spans="1:44" ht="3" customHeight="1" thickBot="1" x14ac:dyDescent="0.3">
      <c r="A35" s="26"/>
      <c r="B35" s="27"/>
      <c r="C35" s="28"/>
      <c r="D35" s="29"/>
      <c r="E35" s="30"/>
      <c r="F35" s="29"/>
      <c r="G35" s="31"/>
      <c r="H35" s="30"/>
      <c r="I35" s="29"/>
      <c r="J35" s="29"/>
      <c r="K35" s="30"/>
      <c r="L35" s="29"/>
      <c r="M35" s="32"/>
      <c r="N35" s="30"/>
      <c r="O35" s="29"/>
      <c r="P35" s="29"/>
      <c r="Q35" s="30"/>
      <c r="R35" s="33"/>
      <c r="S35" s="72"/>
      <c r="T35" s="72"/>
      <c r="U35" s="73"/>
      <c r="AB35" s="216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217"/>
      <c r="AQ35" s="217"/>
      <c r="AR35" s="218"/>
    </row>
    <row r="36" spans="1:44" ht="3" customHeight="1" x14ac:dyDescent="0.25">
      <c r="A36" s="86"/>
      <c r="B36" s="154"/>
      <c r="C36" s="80"/>
      <c r="D36" s="70"/>
      <c r="E36" s="81"/>
      <c r="F36" s="70"/>
      <c r="G36" s="70"/>
      <c r="H36" s="81"/>
      <c r="I36" s="70"/>
      <c r="J36" s="70"/>
      <c r="K36" s="81"/>
      <c r="L36" s="70"/>
      <c r="M36" s="70"/>
      <c r="N36" s="81"/>
      <c r="O36" s="70"/>
      <c r="P36" s="70"/>
      <c r="Q36" s="81"/>
      <c r="R36" s="70"/>
      <c r="S36" s="72"/>
      <c r="T36" s="72"/>
      <c r="U36" s="73"/>
      <c r="AB36" s="216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217"/>
      <c r="AP36" s="217"/>
      <c r="AQ36" s="217"/>
      <c r="AR36" s="218"/>
    </row>
    <row r="37" spans="1:44" ht="9" customHeight="1" x14ac:dyDescent="0.25">
      <c r="A37" s="87"/>
      <c r="B37" s="299" t="s">
        <v>150</v>
      </c>
      <c r="C37" s="320" t="s">
        <v>0</v>
      </c>
      <c r="D37" s="323" t="s">
        <v>37</v>
      </c>
      <c r="E37" s="304"/>
      <c r="F37" s="85"/>
      <c r="G37" s="323" t="s">
        <v>23</v>
      </c>
      <c r="H37" s="304"/>
      <c r="I37" s="85"/>
      <c r="J37" s="323" t="s">
        <v>24</v>
      </c>
      <c r="K37" s="304"/>
      <c r="L37" s="85"/>
      <c r="M37" s="323" t="s">
        <v>25</v>
      </c>
      <c r="N37" s="304"/>
      <c r="O37" s="72"/>
      <c r="P37" s="199"/>
      <c r="Q37" s="207"/>
      <c r="R37" s="72"/>
      <c r="S37" s="199"/>
      <c r="T37" s="200"/>
      <c r="U37" s="73"/>
      <c r="AB37" s="216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217"/>
      <c r="AP37" s="217"/>
      <c r="AQ37" s="217"/>
      <c r="AR37" s="218"/>
    </row>
    <row r="38" spans="1:44" ht="9" customHeight="1" x14ac:dyDescent="0.25">
      <c r="A38" s="87"/>
      <c r="B38" s="299"/>
      <c r="C38" s="320"/>
      <c r="D38" s="324"/>
      <c r="E38" s="305"/>
      <c r="F38" s="85"/>
      <c r="G38" s="324"/>
      <c r="H38" s="305"/>
      <c r="I38" s="85"/>
      <c r="J38" s="324"/>
      <c r="K38" s="305"/>
      <c r="L38" s="85"/>
      <c r="M38" s="324"/>
      <c r="N38" s="305"/>
      <c r="O38" s="72"/>
      <c r="P38" s="324" t="s">
        <v>165</v>
      </c>
      <c r="Q38" s="309"/>
      <c r="R38" s="72"/>
      <c r="S38" s="201"/>
      <c r="T38" s="203"/>
      <c r="U38" s="73"/>
      <c r="AB38" s="216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218"/>
    </row>
    <row r="39" spans="1:44" ht="9" customHeight="1" x14ac:dyDescent="0.25">
      <c r="A39" s="87"/>
      <c r="B39" s="299"/>
      <c r="C39" s="320"/>
      <c r="D39" s="301" t="s">
        <v>26</v>
      </c>
      <c r="E39" s="306"/>
      <c r="F39" s="72"/>
      <c r="G39" s="301" t="s">
        <v>27</v>
      </c>
      <c r="H39" s="306"/>
      <c r="I39" s="72"/>
      <c r="J39" s="301" t="s">
        <v>38</v>
      </c>
      <c r="K39" s="306"/>
      <c r="L39" s="72"/>
      <c r="M39" s="301" t="s">
        <v>44</v>
      </c>
      <c r="N39" s="306"/>
      <c r="O39" s="72"/>
      <c r="P39" s="324"/>
      <c r="Q39" s="309"/>
      <c r="R39" s="72"/>
      <c r="S39" s="201"/>
      <c r="T39" s="202"/>
      <c r="U39" s="73"/>
      <c r="AB39" s="216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217"/>
      <c r="AP39" s="217"/>
      <c r="AQ39" s="217"/>
      <c r="AR39" s="218"/>
    </row>
    <row r="40" spans="1:44" ht="10.5" customHeight="1" x14ac:dyDescent="0.25">
      <c r="A40" s="87"/>
      <c r="B40" s="299"/>
      <c r="C40" s="320"/>
      <c r="D40" s="302"/>
      <c r="E40" s="306"/>
      <c r="F40" s="72"/>
      <c r="G40" s="302"/>
      <c r="H40" s="306"/>
      <c r="I40" s="72"/>
      <c r="J40" s="302"/>
      <c r="K40" s="306"/>
      <c r="L40" s="72"/>
      <c r="M40" s="302"/>
      <c r="N40" s="306"/>
      <c r="O40" s="72"/>
      <c r="P40" s="317" t="s">
        <v>156</v>
      </c>
      <c r="Q40" s="309"/>
      <c r="R40" s="72"/>
      <c r="S40" s="367" t="s">
        <v>79</v>
      </c>
      <c r="T40" s="309"/>
      <c r="U40" s="73"/>
      <c r="AB40" s="216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218"/>
    </row>
    <row r="41" spans="1:44" ht="10.5" customHeight="1" x14ac:dyDescent="0.25">
      <c r="A41" s="87"/>
      <c r="B41" s="299"/>
      <c r="C41" s="320"/>
      <c r="D41" s="302"/>
      <c r="E41" s="306"/>
      <c r="F41" s="72"/>
      <c r="G41" s="302"/>
      <c r="H41" s="306"/>
      <c r="I41" s="72"/>
      <c r="J41" s="302"/>
      <c r="K41" s="306"/>
      <c r="L41" s="72"/>
      <c r="M41" s="302"/>
      <c r="N41" s="306"/>
      <c r="O41" s="72"/>
      <c r="P41" s="317"/>
      <c r="Q41" s="309"/>
      <c r="R41" s="72"/>
      <c r="S41" s="367"/>
      <c r="T41" s="310"/>
      <c r="U41" s="89"/>
      <c r="AB41" s="216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217"/>
      <c r="AP41" s="217"/>
      <c r="AQ41" s="217"/>
      <c r="AR41" s="218"/>
    </row>
    <row r="42" spans="1:44" ht="11.25" customHeight="1" x14ac:dyDescent="0.25">
      <c r="A42" s="87"/>
      <c r="B42" s="299"/>
      <c r="C42" s="320"/>
      <c r="D42" s="59" t="s">
        <v>69</v>
      </c>
      <c r="E42" s="307"/>
      <c r="F42" s="72"/>
      <c r="G42" s="159" t="s">
        <v>66</v>
      </c>
      <c r="H42" s="307"/>
      <c r="I42" s="72"/>
      <c r="J42" s="59" t="s">
        <v>66</v>
      </c>
      <c r="K42" s="307"/>
      <c r="L42" s="72"/>
      <c r="M42" s="159" t="s">
        <v>66</v>
      </c>
      <c r="N42" s="307"/>
      <c r="O42" s="72"/>
      <c r="P42" s="317"/>
      <c r="Q42" s="313"/>
      <c r="R42" s="72"/>
      <c r="S42" s="145" t="s">
        <v>155</v>
      </c>
      <c r="T42" s="311"/>
      <c r="U42" s="90"/>
      <c r="AB42" s="216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217"/>
      <c r="AP42" s="217"/>
      <c r="AQ42" s="217"/>
      <c r="AR42" s="218"/>
    </row>
    <row r="43" spans="1:44" ht="16.5" customHeight="1" x14ac:dyDescent="0.25">
      <c r="A43" s="87"/>
      <c r="B43" s="299"/>
      <c r="C43" s="320"/>
      <c r="D43" s="58" t="s">
        <v>19</v>
      </c>
      <c r="E43" s="167"/>
      <c r="F43" s="92"/>
      <c r="G43" s="63" t="s">
        <v>122</v>
      </c>
      <c r="H43" s="166"/>
      <c r="I43" s="92"/>
      <c r="J43" s="58" t="s">
        <v>123</v>
      </c>
      <c r="K43" s="166"/>
      <c r="L43" s="92"/>
      <c r="M43" s="63" t="s">
        <v>131</v>
      </c>
      <c r="N43" s="166"/>
      <c r="O43" s="72"/>
      <c r="P43" s="193" t="s">
        <v>66</v>
      </c>
      <c r="Q43" s="162"/>
      <c r="R43" s="72"/>
      <c r="S43" s="160" t="s">
        <v>66</v>
      </c>
      <c r="T43" s="162">
        <f>MAX(3-T37-T38-T39,0)</f>
        <v>3</v>
      </c>
      <c r="U43" s="90"/>
      <c r="AB43" s="216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217"/>
      <c r="AP43" s="217"/>
      <c r="AQ43" s="217"/>
      <c r="AR43" s="218"/>
    </row>
    <row r="44" spans="1:44" ht="3" customHeight="1" x14ac:dyDescent="0.25">
      <c r="A44" s="87"/>
      <c r="B44" s="299"/>
      <c r="C44" s="157"/>
      <c r="D44" s="72"/>
      <c r="E44" s="82"/>
      <c r="F44" s="72"/>
      <c r="G44" s="72"/>
      <c r="H44" s="82"/>
      <c r="I44" s="72"/>
      <c r="J44" s="72"/>
      <c r="K44" s="82"/>
      <c r="L44" s="72"/>
      <c r="M44" s="72"/>
      <c r="N44" s="82"/>
      <c r="O44" s="72"/>
      <c r="P44" s="72"/>
      <c r="Q44" s="82"/>
      <c r="R44" s="72"/>
      <c r="S44" s="72"/>
      <c r="T44" s="72"/>
      <c r="U44" s="90"/>
      <c r="AB44" s="216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217"/>
      <c r="AP44" s="217"/>
      <c r="AQ44" s="217"/>
      <c r="AR44" s="218"/>
    </row>
    <row r="45" spans="1:44" ht="9" customHeight="1" x14ac:dyDescent="0.25">
      <c r="A45" s="87"/>
      <c r="B45" s="299"/>
      <c r="C45" s="320" t="s">
        <v>7</v>
      </c>
      <c r="D45" s="323" t="s">
        <v>76</v>
      </c>
      <c r="E45" s="308"/>
      <c r="F45" s="85"/>
      <c r="G45" s="323" t="s">
        <v>28</v>
      </c>
      <c r="H45" s="304"/>
      <c r="I45" s="85"/>
      <c r="J45" s="323" t="s">
        <v>46</v>
      </c>
      <c r="K45" s="304"/>
      <c r="L45" s="85"/>
      <c r="M45" s="323" t="s">
        <v>29</v>
      </c>
      <c r="N45" s="304"/>
      <c r="O45" s="72"/>
      <c r="P45" s="414" t="s">
        <v>105</v>
      </c>
      <c r="Q45" s="304"/>
      <c r="R45" s="72"/>
      <c r="S45" s="199"/>
      <c r="T45" s="200"/>
      <c r="U45" s="90"/>
      <c r="AB45" s="216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217"/>
      <c r="AP45" s="217"/>
      <c r="AQ45" s="217"/>
      <c r="AR45" s="218"/>
    </row>
    <row r="46" spans="1:44" ht="9" customHeight="1" x14ac:dyDescent="0.25">
      <c r="A46" s="87"/>
      <c r="B46" s="299"/>
      <c r="C46" s="320"/>
      <c r="D46" s="324"/>
      <c r="E46" s="309"/>
      <c r="F46" s="85"/>
      <c r="G46" s="324"/>
      <c r="H46" s="305"/>
      <c r="I46" s="85"/>
      <c r="J46" s="324"/>
      <c r="K46" s="305"/>
      <c r="L46" s="85"/>
      <c r="M46" s="324"/>
      <c r="N46" s="305"/>
      <c r="O46" s="72"/>
      <c r="P46" s="415"/>
      <c r="Q46" s="305"/>
      <c r="R46" s="72"/>
      <c r="S46" s="201"/>
      <c r="T46" s="203"/>
      <c r="U46" s="90"/>
      <c r="AB46" s="216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217"/>
      <c r="AP46" s="217"/>
      <c r="AQ46" s="217"/>
      <c r="AR46" s="218"/>
    </row>
    <row r="47" spans="1:44" ht="9" customHeight="1" x14ac:dyDescent="0.25">
      <c r="A47" s="87"/>
      <c r="B47" s="299"/>
      <c r="C47" s="320"/>
      <c r="D47" s="364" t="s">
        <v>90</v>
      </c>
      <c r="E47" s="310"/>
      <c r="F47" s="72"/>
      <c r="G47" s="301" t="s">
        <v>30</v>
      </c>
      <c r="H47" s="306"/>
      <c r="I47" s="72"/>
      <c r="J47" s="301" t="s">
        <v>47</v>
      </c>
      <c r="K47" s="306"/>
      <c r="L47" s="72"/>
      <c r="M47" s="301" t="s">
        <v>31</v>
      </c>
      <c r="N47" s="306"/>
      <c r="O47" s="72"/>
      <c r="P47" s="301" t="s">
        <v>106</v>
      </c>
      <c r="Q47" s="306"/>
      <c r="R47" s="72"/>
      <c r="S47" s="201"/>
      <c r="T47" s="202"/>
      <c r="U47" s="90"/>
      <c r="AB47" s="216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217"/>
      <c r="AP47" s="217"/>
      <c r="AQ47" s="217"/>
      <c r="AR47" s="218"/>
    </row>
    <row r="48" spans="1:44" ht="10.5" customHeight="1" x14ac:dyDescent="0.25">
      <c r="A48" s="87"/>
      <c r="B48" s="299"/>
      <c r="C48" s="320"/>
      <c r="D48" s="365"/>
      <c r="E48" s="310"/>
      <c r="F48" s="72"/>
      <c r="G48" s="302"/>
      <c r="H48" s="306"/>
      <c r="I48" s="72"/>
      <c r="J48" s="301"/>
      <c r="K48" s="306"/>
      <c r="L48" s="72"/>
      <c r="M48" s="302"/>
      <c r="N48" s="306"/>
      <c r="O48" s="72"/>
      <c r="P48" s="302"/>
      <c r="Q48" s="306"/>
      <c r="R48" s="72"/>
      <c r="S48" s="367" t="s">
        <v>95</v>
      </c>
      <c r="T48" s="309"/>
      <c r="U48" s="90"/>
      <c r="AB48" s="216"/>
      <c r="AC48" s="217"/>
      <c r="AD48" s="217"/>
      <c r="AE48" s="217"/>
      <c r="AF48" s="217"/>
      <c r="AG48" s="217"/>
      <c r="AH48" s="217"/>
      <c r="AI48" s="217"/>
      <c r="AJ48" s="217"/>
      <c r="AK48" s="217"/>
      <c r="AL48" s="217"/>
      <c r="AM48" s="217"/>
      <c r="AN48" s="217"/>
      <c r="AO48" s="217"/>
      <c r="AP48" s="217"/>
      <c r="AQ48" s="217"/>
      <c r="AR48" s="218"/>
    </row>
    <row r="49" spans="1:44" ht="10.5" customHeight="1" x14ac:dyDescent="0.25">
      <c r="A49" s="87"/>
      <c r="B49" s="299"/>
      <c r="C49" s="320"/>
      <c r="D49" s="365"/>
      <c r="E49" s="310"/>
      <c r="F49" s="72"/>
      <c r="G49" s="302"/>
      <c r="H49" s="306"/>
      <c r="I49" s="72"/>
      <c r="J49" s="131" t="s">
        <v>86</v>
      </c>
      <c r="K49" s="306"/>
      <c r="L49" s="72"/>
      <c r="M49" s="302"/>
      <c r="N49" s="306"/>
      <c r="O49" s="72"/>
      <c r="P49" s="302"/>
      <c r="Q49" s="306"/>
      <c r="R49" s="72"/>
      <c r="S49" s="367"/>
      <c r="T49" s="310"/>
      <c r="U49" s="91"/>
      <c r="AB49" s="216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217"/>
      <c r="AP49" s="217"/>
      <c r="AQ49" s="217"/>
      <c r="AR49" s="218"/>
    </row>
    <row r="50" spans="1:44" ht="11.25" customHeight="1" x14ac:dyDescent="0.25">
      <c r="A50" s="87"/>
      <c r="B50" s="299"/>
      <c r="C50" s="320"/>
      <c r="D50" s="64" t="s">
        <v>66</v>
      </c>
      <c r="E50" s="311"/>
      <c r="F50" s="72"/>
      <c r="G50" s="159" t="s">
        <v>66</v>
      </c>
      <c r="H50" s="307"/>
      <c r="I50" s="72"/>
      <c r="J50" s="59" t="s">
        <v>68</v>
      </c>
      <c r="K50" s="307"/>
      <c r="L50" s="72"/>
      <c r="M50" s="159" t="s">
        <v>70</v>
      </c>
      <c r="N50" s="307"/>
      <c r="O50" s="72"/>
      <c r="P50" s="59" t="s">
        <v>66</v>
      </c>
      <c r="Q50" s="307"/>
      <c r="R50" s="72"/>
      <c r="S50" s="145" t="s">
        <v>155</v>
      </c>
      <c r="T50" s="311"/>
      <c r="U50" s="90"/>
      <c r="AB50" s="216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217"/>
      <c r="AP50" s="217"/>
      <c r="AQ50" s="217"/>
      <c r="AR50" s="218"/>
    </row>
    <row r="51" spans="1:44" ht="23.4" x14ac:dyDescent="0.25">
      <c r="A51" s="87"/>
      <c r="B51" s="299"/>
      <c r="C51" s="320"/>
      <c r="D51" s="60" t="s">
        <v>124</v>
      </c>
      <c r="E51" s="187"/>
      <c r="F51" s="92"/>
      <c r="G51" s="63" t="s">
        <v>125</v>
      </c>
      <c r="H51" s="187"/>
      <c r="I51" s="92"/>
      <c r="J51" s="130" t="s">
        <v>107</v>
      </c>
      <c r="K51" s="187"/>
      <c r="L51" s="92"/>
      <c r="M51" s="63" t="s">
        <v>139</v>
      </c>
      <c r="N51" s="169"/>
      <c r="O51" s="72"/>
      <c r="P51" s="128" t="s">
        <v>116</v>
      </c>
      <c r="Q51" s="170"/>
      <c r="R51" s="72"/>
      <c r="S51" s="160" t="s">
        <v>66</v>
      </c>
      <c r="T51" s="162">
        <f>MAX(3-T45-T46-T47,0)</f>
        <v>3</v>
      </c>
      <c r="U51" s="73"/>
      <c r="AB51" s="216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217"/>
      <c r="AP51" s="217"/>
      <c r="AQ51" s="217"/>
      <c r="AR51" s="218"/>
    </row>
    <row r="52" spans="1:44" ht="3" customHeight="1" thickBot="1" x14ac:dyDescent="0.3">
      <c r="A52" s="79"/>
      <c r="B52" s="155"/>
      <c r="C52" s="83"/>
      <c r="D52" s="74"/>
      <c r="E52" s="84"/>
      <c r="F52" s="74"/>
      <c r="G52" s="74"/>
      <c r="H52" s="84"/>
      <c r="I52" s="74"/>
      <c r="J52" s="74"/>
      <c r="K52" s="84"/>
      <c r="L52" s="74"/>
      <c r="M52" s="74"/>
      <c r="N52" s="84"/>
      <c r="O52" s="74"/>
      <c r="P52" s="74"/>
      <c r="Q52" s="84"/>
      <c r="R52" s="74"/>
      <c r="S52" s="88"/>
      <c r="T52" s="88"/>
      <c r="U52" s="73"/>
      <c r="AB52" s="216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217"/>
      <c r="AP52" s="217"/>
      <c r="AQ52" s="217"/>
      <c r="AR52" s="218"/>
    </row>
    <row r="53" spans="1:44" ht="3" customHeight="1" x14ac:dyDescent="0.25">
      <c r="A53" s="19"/>
      <c r="B53" s="20"/>
      <c r="C53" s="21"/>
      <c r="D53" s="11"/>
      <c r="E53" s="22"/>
      <c r="F53" s="11"/>
      <c r="G53" s="11"/>
      <c r="H53" s="22"/>
      <c r="I53" s="11"/>
      <c r="J53" s="11"/>
      <c r="K53" s="22"/>
      <c r="L53" s="11"/>
      <c r="M53" s="11"/>
      <c r="N53" s="22"/>
      <c r="O53" s="11"/>
      <c r="P53" s="11"/>
      <c r="Q53" s="22"/>
      <c r="R53" s="12"/>
      <c r="S53" s="72"/>
      <c r="T53" s="72"/>
      <c r="U53" s="73"/>
      <c r="AB53" s="216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217"/>
      <c r="AP53" s="217"/>
      <c r="AQ53" s="217"/>
      <c r="AR53" s="218"/>
    </row>
    <row r="54" spans="1:44" ht="9" customHeight="1" x14ac:dyDescent="0.25">
      <c r="A54" s="25"/>
      <c r="B54" s="299" t="s">
        <v>151</v>
      </c>
      <c r="C54" s="300" t="s">
        <v>0</v>
      </c>
      <c r="D54" s="223"/>
      <c r="E54" s="198"/>
      <c r="F54" s="23"/>
      <c r="G54" s="323" t="s">
        <v>97</v>
      </c>
      <c r="H54" s="304"/>
      <c r="I54" s="23"/>
      <c r="J54" s="323" t="s">
        <v>77</v>
      </c>
      <c r="K54" s="304"/>
      <c r="L54" s="13"/>
      <c r="M54" s="199"/>
      <c r="N54" s="200"/>
      <c r="O54" s="172"/>
      <c r="P54" s="199"/>
      <c r="Q54" s="200"/>
      <c r="R54" s="14"/>
      <c r="S54" s="326" t="s">
        <v>6</v>
      </c>
      <c r="T54" s="368"/>
      <c r="U54" s="369"/>
      <c r="AB54" s="216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217"/>
      <c r="AP54" s="217"/>
      <c r="AQ54" s="217"/>
      <c r="AR54" s="218"/>
    </row>
    <row r="55" spans="1:44" ht="9" customHeight="1" x14ac:dyDescent="0.25">
      <c r="A55" s="25"/>
      <c r="B55" s="299"/>
      <c r="C55" s="300"/>
      <c r="D55" s="146" t="s">
        <v>45</v>
      </c>
      <c r="E55" s="309"/>
      <c r="F55" s="23"/>
      <c r="G55" s="324"/>
      <c r="H55" s="305"/>
      <c r="I55" s="23"/>
      <c r="J55" s="324"/>
      <c r="K55" s="305"/>
      <c r="L55" s="13"/>
      <c r="M55" s="201"/>
      <c r="N55" s="203"/>
      <c r="O55" s="172"/>
      <c r="P55" s="201"/>
      <c r="Q55" s="203"/>
      <c r="R55" s="14"/>
      <c r="S55" s="326"/>
      <c r="T55" s="368"/>
      <c r="U55" s="369"/>
      <c r="AB55" s="216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217"/>
      <c r="AP55" s="217"/>
      <c r="AQ55" s="217"/>
      <c r="AR55" s="218"/>
    </row>
    <row r="56" spans="1:44" ht="9" customHeight="1" x14ac:dyDescent="0.25">
      <c r="A56" s="25"/>
      <c r="B56" s="299"/>
      <c r="C56" s="300"/>
      <c r="D56" s="390" t="s">
        <v>72</v>
      </c>
      <c r="E56" s="309"/>
      <c r="F56" s="23"/>
      <c r="G56" s="324"/>
      <c r="H56" s="305"/>
      <c r="I56" s="23"/>
      <c r="J56" s="324"/>
      <c r="K56" s="305"/>
      <c r="L56" s="13"/>
      <c r="M56" s="201"/>
      <c r="N56" s="202"/>
      <c r="O56" s="172"/>
      <c r="P56" s="201"/>
      <c r="Q56" s="202"/>
      <c r="R56" s="14"/>
      <c r="S56" s="156"/>
      <c r="T56" s="157"/>
      <c r="U56" s="158"/>
      <c r="AB56" s="216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217"/>
      <c r="AP56" s="217"/>
      <c r="AQ56" s="217"/>
      <c r="AR56" s="218"/>
    </row>
    <row r="57" spans="1:44" ht="10.5" customHeight="1" thickBot="1" x14ac:dyDescent="0.3">
      <c r="A57" s="25"/>
      <c r="B57" s="299"/>
      <c r="C57" s="300"/>
      <c r="D57" s="390"/>
      <c r="E57" s="309"/>
      <c r="F57" s="13"/>
      <c r="G57" s="301" t="s">
        <v>101</v>
      </c>
      <c r="H57" s="306"/>
      <c r="I57" s="13"/>
      <c r="J57" s="301" t="s">
        <v>51</v>
      </c>
      <c r="K57" s="306"/>
      <c r="L57" s="13"/>
      <c r="M57" s="151" t="s">
        <v>49</v>
      </c>
      <c r="N57" s="309"/>
      <c r="O57" s="13"/>
      <c r="P57" s="151" t="s">
        <v>49</v>
      </c>
      <c r="Q57" s="309"/>
      <c r="R57" s="34"/>
      <c r="S57" s="79"/>
      <c r="T57" s="74"/>
      <c r="U57" s="73"/>
      <c r="AB57" s="216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217"/>
      <c r="AP57" s="217"/>
      <c r="AQ57" s="217"/>
      <c r="AR57" s="218"/>
    </row>
    <row r="58" spans="1:44" ht="10.5" customHeight="1" x14ac:dyDescent="0.25">
      <c r="A58" s="25"/>
      <c r="B58" s="299"/>
      <c r="C58" s="300"/>
      <c r="D58" s="390"/>
      <c r="E58" s="309"/>
      <c r="F58" s="13"/>
      <c r="G58" s="302"/>
      <c r="H58" s="306"/>
      <c r="I58" s="13"/>
      <c r="J58" s="301"/>
      <c r="K58" s="306"/>
      <c r="L58" s="13"/>
      <c r="M58" s="366" t="s">
        <v>73</v>
      </c>
      <c r="N58" s="310"/>
      <c r="O58" s="13"/>
      <c r="P58" s="366" t="s">
        <v>73</v>
      </c>
      <c r="Q58" s="310"/>
      <c r="R58" s="13"/>
      <c r="S58" s="13"/>
      <c r="T58" s="13"/>
      <c r="U58" s="12"/>
      <c r="AB58" s="216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217"/>
      <c r="AP58" s="217"/>
      <c r="AQ58" s="217"/>
      <c r="AR58" s="218"/>
    </row>
    <row r="59" spans="1:44" ht="10.5" customHeight="1" x14ac:dyDescent="0.25">
      <c r="A59" s="25"/>
      <c r="B59" s="299"/>
      <c r="C59" s="300"/>
      <c r="D59" s="390"/>
      <c r="E59" s="309"/>
      <c r="F59" s="13"/>
      <c r="G59" s="302"/>
      <c r="H59" s="306"/>
      <c r="I59" s="13"/>
      <c r="J59" s="152" t="s">
        <v>86</v>
      </c>
      <c r="K59" s="306"/>
      <c r="L59" s="13"/>
      <c r="M59" s="303"/>
      <c r="N59" s="310"/>
      <c r="O59" s="13"/>
      <c r="P59" s="303"/>
      <c r="Q59" s="310"/>
      <c r="R59" s="13"/>
      <c r="S59" s="315" t="s">
        <v>22</v>
      </c>
      <c r="T59" s="315"/>
      <c r="U59" s="316"/>
      <c r="AB59" s="219"/>
      <c r="AC59" s="220"/>
      <c r="AD59" s="220"/>
      <c r="AE59" s="220"/>
      <c r="AF59" s="220"/>
      <c r="AG59" s="220"/>
      <c r="AH59" s="220"/>
      <c r="AI59" s="220"/>
      <c r="AJ59" s="220"/>
      <c r="AK59" s="220"/>
      <c r="AL59" s="220"/>
      <c r="AM59" s="220"/>
      <c r="AN59" s="220"/>
      <c r="AO59" s="220"/>
      <c r="AP59" s="220"/>
      <c r="AQ59" s="220"/>
      <c r="AR59" s="221"/>
    </row>
    <row r="60" spans="1:44" ht="11.25" customHeight="1" x14ac:dyDescent="0.25">
      <c r="A60" s="25"/>
      <c r="B60" s="299"/>
      <c r="C60" s="300"/>
      <c r="D60" s="159" t="s">
        <v>66</v>
      </c>
      <c r="E60" s="313"/>
      <c r="F60" s="13"/>
      <c r="G60" s="159" t="s">
        <v>66</v>
      </c>
      <c r="H60" s="307"/>
      <c r="I60" s="13"/>
      <c r="J60" s="59" t="s">
        <v>68</v>
      </c>
      <c r="K60" s="307"/>
      <c r="L60" s="13"/>
      <c r="M60" s="145" t="s">
        <v>155</v>
      </c>
      <c r="N60" s="311"/>
      <c r="O60" s="13"/>
      <c r="P60" s="145" t="s">
        <v>155</v>
      </c>
      <c r="Q60" s="311"/>
      <c r="R60" s="13"/>
      <c r="S60" s="15"/>
      <c r="T60" s="15"/>
      <c r="U60" s="16"/>
    </row>
    <row r="61" spans="1:44" ht="24.75" customHeight="1" x14ac:dyDescent="0.25">
      <c r="A61" s="25"/>
      <c r="B61" s="299"/>
      <c r="C61" s="300"/>
      <c r="D61" s="63" t="s">
        <v>103</v>
      </c>
      <c r="E61" s="148"/>
      <c r="F61" s="13"/>
      <c r="G61" s="63" t="s">
        <v>277</v>
      </c>
      <c r="H61" s="168"/>
      <c r="I61" s="13"/>
      <c r="J61" s="63" t="s">
        <v>126</v>
      </c>
      <c r="K61" s="149"/>
      <c r="L61" s="13"/>
      <c r="M61" s="160" t="s">
        <v>66</v>
      </c>
      <c r="N61" s="162">
        <f>MAX(3-N54-N55-N56,0)</f>
        <v>3</v>
      </c>
      <c r="O61" s="13"/>
      <c r="P61" s="160" t="s">
        <v>66</v>
      </c>
      <c r="Q61" s="162">
        <f>MAX(3-Q54-Q55-Q56,0)</f>
        <v>3</v>
      </c>
      <c r="R61" s="13"/>
      <c r="S61" s="315" t="s">
        <v>78</v>
      </c>
      <c r="T61" s="315"/>
      <c r="U61" s="316"/>
    </row>
    <row r="62" spans="1:44" ht="3" customHeight="1" x14ac:dyDescent="0.25">
      <c r="A62" s="25"/>
      <c r="B62" s="299"/>
      <c r="C62" s="17"/>
      <c r="D62" s="13"/>
      <c r="E62" s="18"/>
      <c r="F62" s="13"/>
      <c r="G62" s="13"/>
      <c r="H62" s="18"/>
      <c r="I62" s="13"/>
      <c r="J62" s="13"/>
      <c r="K62" s="18"/>
      <c r="L62" s="13"/>
      <c r="M62" s="13"/>
      <c r="N62" s="18"/>
      <c r="O62" s="13"/>
      <c r="P62" s="13"/>
      <c r="Q62" s="18"/>
      <c r="R62" s="13"/>
      <c r="S62" s="15"/>
      <c r="T62" s="15"/>
      <c r="U62" s="16"/>
    </row>
    <row r="63" spans="1:44" ht="9" customHeight="1" x14ac:dyDescent="0.25">
      <c r="A63" s="25"/>
      <c r="B63" s="299"/>
      <c r="C63" s="300" t="s">
        <v>7</v>
      </c>
      <c r="D63" s="226"/>
      <c r="E63" s="225"/>
      <c r="F63" s="23"/>
      <c r="G63" s="199"/>
      <c r="H63" s="208"/>
      <c r="I63" s="172"/>
      <c r="J63" s="199"/>
      <c r="K63" s="200"/>
      <c r="L63" s="172"/>
      <c r="M63" s="199"/>
      <c r="N63" s="200"/>
      <c r="O63" s="172"/>
      <c r="P63" s="199"/>
      <c r="Q63" s="200"/>
      <c r="R63" s="172"/>
      <c r="S63" s="199"/>
      <c r="T63" s="200"/>
      <c r="U63" s="16"/>
    </row>
    <row r="64" spans="1:44" ht="9" customHeight="1" x14ac:dyDescent="0.25">
      <c r="A64" s="25"/>
      <c r="B64" s="299"/>
      <c r="C64" s="300"/>
      <c r="D64" s="146" t="s">
        <v>52</v>
      </c>
      <c r="E64" s="309"/>
      <c r="F64" s="23"/>
      <c r="G64" s="312" t="s">
        <v>48</v>
      </c>
      <c r="H64" s="309"/>
      <c r="I64" s="172"/>
      <c r="J64" s="201"/>
      <c r="K64" s="203"/>
      <c r="L64" s="172"/>
      <c r="M64" s="201"/>
      <c r="N64" s="203"/>
      <c r="O64" s="172"/>
      <c r="P64" s="201"/>
      <c r="Q64" s="203"/>
      <c r="R64" s="172"/>
      <c r="S64" s="201"/>
      <c r="T64" s="203"/>
      <c r="U64" s="16"/>
    </row>
    <row r="65" spans="1:24" ht="9" customHeight="1" x14ac:dyDescent="0.25">
      <c r="A65" s="25"/>
      <c r="B65" s="299"/>
      <c r="C65" s="300"/>
      <c r="D65" s="390" t="s">
        <v>168</v>
      </c>
      <c r="E65" s="309"/>
      <c r="F65" s="23"/>
      <c r="G65" s="312"/>
      <c r="H65" s="309"/>
      <c r="I65" s="172"/>
      <c r="J65" s="201"/>
      <c r="K65" s="202"/>
      <c r="L65" s="172"/>
      <c r="M65" s="201"/>
      <c r="N65" s="202"/>
      <c r="O65" s="172"/>
      <c r="P65" s="201"/>
      <c r="Q65" s="202"/>
      <c r="R65" s="172"/>
      <c r="S65" s="201"/>
      <c r="T65" s="202"/>
      <c r="U65" s="16"/>
    </row>
    <row r="66" spans="1:24" ht="10.5" customHeight="1" x14ac:dyDescent="0.25">
      <c r="A66" s="25"/>
      <c r="B66" s="299"/>
      <c r="C66" s="300"/>
      <c r="D66" s="391"/>
      <c r="E66" s="309"/>
      <c r="F66" s="13"/>
      <c r="G66" s="312"/>
      <c r="H66" s="309"/>
      <c r="I66" s="13"/>
      <c r="J66" s="367" t="s">
        <v>79</v>
      </c>
      <c r="K66" s="309"/>
      <c r="L66" s="13"/>
      <c r="M66" s="153" t="s">
        <v>49</v>
      </c>
      <c r="N66" s="309"/>
      <c r="O66" s="13"/>
      <c r="P66" s="151" t="s">
        <v>49</v>
      </c>
      <c r="Q66" s="309"/>
      <c r="R66" s="13"/>
      <c r="S66" s="153" t="s">
        <v>49</v>
      </c>
      <c r="T66" s="309"/>
      <c r="U66" s="16"/>
    </row>
    <row r="67" spans="1:24" ht="10.5" customHeight="1" x14ac:dyDescent="0.25">
      <c r="A67" s="25"/>
      <c r="B67" s="299"/>
      <c r="C67" s="300"/>
      <c r="D67" s="391"/>
      <c r="E67" s="309"/>
      <c r="F67" s="13"/>
      <c r="G67" s="314" t="s">
        <v>63</v>
      </c>
      <c r="H67" s="309"/>
      <c r="I67" s="13"/>
      <c r="J67" s="367"/>
      <c r="K67" s="310"/>
      <c r="L67" s="13"/>
      <c r="M67" s="366" t="s">
        <v>50</v>
      </c>
      <c r="N67" s="310"/>
      <c r="O67" s="13"/>
      <c r="P67" s="303" t="s">
        <v>50</v>
      </c>
      <c r="Q67" s="310"/>
      <c r="R67" s="13"/>
      <c r="S67" s="366" t="s">
        <v>50</v>
      </c>
      <c r="T67" s="310"/>
      <c r="U67" s="16"/>
    </row>
    <row r="68" spans="1:24" ht="10.5" customHeight="1" x14ac:dyDescent="0.25">
      <c r="A68" s="25"/>
      <c r="B68" s="299"/>
      <c r="C68" s="300"/>
      <c r="D68" s="152" t="s">
        <v>86</v>
      </c>
      <c r="E68" s="309"/>
      <c r="F68" s="13"/>
      <c r="G68" s="314"/>
      <c r="H68" s="309"/>
      <c r="I68" s="13"/>
      <c r="J68" s="367"/>
      <c r="K68" s="310"/>
      <c r="L68" s="13"/>
      <c r="M68" s="366"/>
      <c r="N68" s="310"/>
      <c r="O68" s="13"/>
      <c r="P68" s="303"/>
      <c r="Q68" s="310"/>
      <c r="R68" s="13"/>
      <c r="S68" s="366"/>
      <c r="T68" s="310"/>
      <c r="U68" s="16"/>
    </row>
    <row r="69" spans="1:24" ht="11.25" customHeight="1" x14ac:dyDescent="0.25">
      <c r="A69" s="25"/>
      <c r="B69" s="299"/>
      <c r="C69" s="300"/>
      <c r="D69" s="224" t="s">
        <v>68</v>
      </c>
      <c r="E69" s="313"/>
      <c r="F69" s="13"/>
      <c r="G69" s="127" t="s">
        <v>155</v>
      </c>
      <c r="H69" s="313"/>
      <c r="I69" s="13"/>
      <c r="J69" s="145" t="s">
        <v>155</v>
      </c>
      <c r="K69" s="311"/>
      <c r="L69" s="13"/>
      <c r="M69" s="145" t="s">
        <v>155</v>
      </c>
      <c r="N69" s="311"/>
      <c r="O69" s="13"/>
      <c r="P69" s="145" t="s">
        <v>155</v>
      </c>
      <c r="Q69" s="311"/>
      <c r="R69" s="13"/>
      <c r="S69" s="145" t="s">
        <v>155</v>
      </c>
      <c r="T69" s="311"/>
      <c r="U69" s="16"/>
    </row>
    <row r="70" spans="1:24" ht="24.75" customHeight="1" x14ac:dyDescent="0.25">
      <c r="A70" s="25"/>
      <c r="B70" s="299"/>
      <c r="C70" s="392" t="s">
        <v>152</v>
      </c>
      <c r="D70" s="393"/>
      <c r="E70" s="189"/>
      <c r="F70" s="24"/>
      <c r="G70" s="129" t="s">
        <v>66</v>
      </c>
      <c r="H70" s="188"/>
      <c r="I70" s="13"/>
      <c r="J70" s="160" t="s">
        <v>66</v>
      </c>
      <c r="K70" s="162">
        <f>MAX(3-K63-K64-K65,0)</f>
        <v>3</v>
      </c>
      <c r="L70" s="13"/>
      <c r="M70" s="160" t="s">
        <v>66</v>
      </c>
      <c r="N70" s="162">
        <f>MAX(3-N63-N64-N65,0)</f>
        <v>3</v>
      </c>
      <c r="O70" s="13"/>
      <c r="P70" s="160" t="s">
        <v>66</v>
      </c>
      <c r="Q70" s="162">
        <f>MAX(3-Q63-Q64-Q65,0)</f>
        <v>3</v>
      </c>
      <c r="R70" s="13"/>
      <c r="S70" s="160" t="s">
        <v>66</v>
      </c>
      <c r="T70" s="162">
        <f>MAX(3-T63-T64-T65,0)</f>
        <v>3</v>
      </c>
      <c r="U70" s="14"/>
    </row>
    <row r="71" spans="1:24" ht="3" customHeight="1" thickBot="1" x14ac:dyDescent="0.3">
      <c r="A71" s="26"/>
      <c r="B71" s="28"/>
      <c r="C71" s="13"/>
      <c r="D71" s="13"/>
      <c r="E71" s="18"/>
      <c r="F71" s="13"/>
      <c r="G71" s="29"/>
      <c r="H71" s="30"/>
      <c r="I71" s="29"/>
      <c r="J71" s="29"/>
      <c r="K71" s="30"/>
      <c r="L71" s="29"/>
      <c r="M71" s="29"/>
      <c r="N71" s="30"/>
      <c r="O71" s="29"/>
      <c r="P71" s="29"/>
      <c r="Q71" s="30"/>
      <c r="R71" s="29"/>
      <c r="S71" s="29"/>
      <c r="T71" s="29"/>
      <c r="U71" s="33"/>
    </row>
    <row r="72" spans="1:24" ht="10.5" customHeight="1" x14ac:dyDescent="0.25">
      <c r="A72" s="38"/>
      <c r="C72" s="135"/>
      <c r="D72" s="184" t="s">
        <v>133</v>
      </c>
      <c r="E72" s="161"/>
      <c r="F72" s="65"/>
      <c r="G72" s="38" t="s">
        <v>160</v>
      </c>
      <c r="H72" s="1"/>
      <c r="O72" s="174"/>
      <c r="P72" s="174"/>
      <c r="Q72" s="408" t="s">
        <v>75</v>
      </c>
      <c r="R72" s="409"/>
      <c r="S72" s="409"/>
      <c r="T72" s="409"/>
      <c r="U72" s="410"/>
      <c r="W72" s="38"/>
    </row>
    <row r="73" spans="1:24" s="1" customFormat="1" ht="10.5" customHeight="1" thickBot="1" x14ac:dyDescent="0.3">
      <c r="B73" s="191"/>
      <c r="C73" s="66"/>
      <c r="D73" s="223"/>
      <c r="E73" s="222"/>
      <c r="F73" s="16"/>
      <c r="G73" s="39" t="s">
        <v>161</v>
      </c>
      <c r="H73" s="46"/>
      <c r="I73" s="46"/>
      <c r="J73" s="46"/>
      <c r="K73" s="46"/>
      <c r="L73" s="46"/>
      <c r="M73" s="46"/>
      <c r="N73" s="46"/>
      <c r="O73" s="175"/>
      <c r="P73" s="175"/>
      <c r="Q73" s="411"/>
      <c r="R73" s="412"/>
      <c r="S73" s="412"/>
      <c r="T73" s="412"/>
      <c r="U73" s="413"/>
      <c r="W73" s="40"/>
      <c r="X73" s="39"/>
    </row>
    <row r="74" spans="1:24" s="1" customFormat="1" ht="10.5" customHeight="1" x14ac:dyDescent="0.25">
      <c r="B74" s="134"/>
      <c r="C74" s="66"/>
      <c r="D74" s="312" t="s">
        <v>32</v>
      </c>
      <c r="E74" s="309"/>
      <c r="F74" s="16"/>
      <c r="G74" s="39" t="s">
        <v>157</v>
      </c>
      <c r="H74" s="46"/>
      <c r="I74" s="46"/>
      <c r="J74" s="46"/>
      <c r="K74" s="46"/>
      <c r="L74" s="46"/>
      <c r="M74" s="46"/>
      <c r="N74" s="46"/>
      <c r="Q74" s="7"/>
      <c r="V74" s="126"/>
      <c r="W74" s="40"/>
      <c r="X74" s="39"/>
    </row>
    <row r="75" spans="1:24" s="1" customFormat="1" ht="10.5" customHeight="1" x14ac:dyDescent="0.25">
      <c r="B75" s="134"/>
      <c r="C75" s="66"/>
      <c r="D75" s="312"/>
      <c r="E75" s="309"/>
      <c r="F75" s="16"/>
      <c r="G75" s="39" t="s">
        <v>158</v>
      </c>
      <c r="H75" s="46"/>
      <c r="I75" s="46"/>
      <c r="J75" s="46"/>
      <c r="K75" s="46"/>
      <c r="L75" s="46"/>
      <c r="M75" s="46"/>
      <c r="N75" s="46"/>
      <c r="Q75" s="7"/>
      <c r="R75" s="176"/>
      <c r="S75" s="183"/>
      <c r="T75" s="183"/>
      <c r="U75" s="134"/>
      <c r="W75" s="40"/>
      <c r="X75" s="39"/>
    </row>
    <row r="76" spans="1:24" s="1" customFormat="1" ht="10.5" customHeight="1" x14ac:dyDescent="0.25">
      <c r="B76" s="134"/>
      <c r="C76" s="66"/>
      <c r="D76" s="145" t="s">
        <v>155</v>
      </c>
      <c r="E76" s="309"/>
      <c r="F76" s="16"/>
      <c r="G76" s="39" t="s">
        <v>159</v>
      </c>
      <c r="H76" s="46"/>
      <c r="I76" s="46"/>
      <c r="J76" s="46"/>
      <c r="K76" s="46"/>
      <c r="L76" s="46"/>
      <c r="M76" s="46"/>
      <c r="N76" s="46"/>
      <c r="O76" s="134"/>
      <c r="P76" s="134"/>
      <c r="Q76" s="134"/>
      <c r="R76" s="134"/>
      <c r="S76" s="177"/>
      <c r="T76" s="179"/>
      <c r="U76" s="134"/>
      <c r="W76" s="40"/>
      <c r="X76" s="39"/>
    </row>
    <row r="77" spans="1:24" s="1" customFormat="1" ht="10.5" customHeight="1" x14ac:dyDescent="0.25">
      <c r="B77" s="134"/>
      <c r="C77" s="66"/>
      <c r="D77" s="185"/>
      <c r="E77" s="309"/>
      <c r="F77" s="16"/>
      <c r="G77" s="39" t="s">
        <v>169</v>
      </c>
      <c r="H77" s="46"/>
      <c r="I77" s="46"/>
      <c r="J77" s="46"/>
      <c r="K77" s="46"/>
      <c r="L77" s="46"/>
      <c r="M77" s="46"/>
      <c r="N77" s="46"/>
      <c r="O77" s="134"/>
      <c r="P77" s="171"/>
      <c r="Q77" s="180"/>
      <c r="R77" s="134"/>
      <c r="S77" s="178"/>
      <c r="T77" s="179"/>
      <c r="U77" s="134"/>
    </row>
    <row r="78" spans="1:24" s="1" customFormat="1" ht="9.75" customHeight="1" x14ac:dyDescent="0.25">
      <c r="B78" s="46"/>
      <c r="C78" s="182"/>
      <c r="D78" s="129" t="s">
        <v>66</v>
      </c>
      <c r="E78" s="407"/>
      <c r="F78" s="181"/>
      <c r="G78" s="389" t="s">
        <v>143</v>
      </c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  <c r="S78" s="389"/>
      <c r="T78" s="389"/>
      <c r="U78" s="389"/>
    </row>
    <row r="79" spans="1:24" s="1" customFormat="1" ht="5.25" customHeight="1" thickBot="1" x14ac:dyDescent="0.3">
      <c r="A79" s="55"/>
      <c r="B79" s="56"/>
      <c r="C79" s="67"/>
      <c r="D79" s="68"/>
      <c r="E79" s="68"/>
      <c r="F79" s="6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  <c r="S79" s="389"/>
      <c r="T79" s="389"/>
      <c r="U79" s="389"/>
    </row>
    <row r="80" spans="1:24" s="142" customFormat="1" ht="15.75" customHeight="1" thickBot="1" x14ac:dyDescent="0.3">
      <c r="A80" s="138"/>
      <c r="B80" s="139"/>
      <c r="C80" s="140"/>
      <c r="D80" s="140"/>
      <c r="E80" s="140"/>
      <c r="F80" s="140"/>
      <c r="G80" s="140"/>
      <c r="H80" s="140"/>
      <c r="I80" s="140"/>
      <c r="J80" s="140"/>
      <c r="K80" s="141" t="s">
        <v>94</v>
      </c>
      <c r="L80" s="140"/>
      <c r="M80" s="140"/>
      <c r="N80" s="140"/>
      <c r="O80" s="140"/>
      <c r="P80" s="140"/>
      <c r="Q80" s="140"/>
      <c r="R80" s="140"/>
      <c r="S80" s="140"/>
      <c r="T80" s="140"/>
      <c r="U80" s="190"/>
    </row>
    <row r="81" spans="1:22" s="143" customFormat="1" ht="14.25" customHeight="1" thickBot="1" x14ac:dyDescent="0.3">
      <c r="A81" s="337" t="s">
        <v>56</v>
      </c>
      <c r="B81" s="338"/>
      <c r="C81" s="338"/>
      <c r="D81" s="338"/>
      <c r="E81" s="338"/>
      <c r="F81" s="338"/>
      <c r="G81" s="338"/>
      <c r="H81" s="338"/>
      <c r="I81" s="338"/>
      <c r="J81" s="339"/>
      <c r="K81" s="337" t="s">
        <v>80</v>
      </c>
      <c r="L81" s="338"/>
      <c r="M81" s="338"/>
      <c r="N81" s="338"/>
      <c r="O81" s="338"/>
      <c r="P81" s="338"/>
      <c r="Q81" s="338"/>
      <c r="R81" s="338"/>
      <c r="S81" s="338"/>
      <c r="T81" s="338"/>
      <c r="U81" s="339"/>
    </row>
    <row r="82" spans="1:22" ht="24" customHeight="1" x14ac:dyDescent="0.25">
      <c r="A82" s="93"/>
      <c r="B82" s="94"/>
      <c r="C82" s="95"/>
      <c r="D82" s="95"/>
      <c r="E82" s="95"/>
      <c r="F82" s="95"/>
      <c r="G82" s="95"/>
      <c r="H82" s="95"/>
      <c r="I82" s="95"/>
      <c r="J82" s="95"/>
      <c r="K82" s="340" t="s">
        <v>33</v>
      </c>
      <c r="L82" s="341"/>
      <c r="M82" s="350" t="s">
        <v>84</v>
      </c>
      <c r="N82" s="350"/>
      <c r="O82" s="350"/>
      <c r="P82" s="350"/>
      <c r="Q82" s="350"/>
      <c r="R82" s="350"/>
      <c r="S82" s="350"/>
      <c r="T82" s="350"/>
      <c r="U82" s="96"/>
    </row>
    <row r="83" spans="1:22" ht="13.2" x14ac:dyDescent="0.25">
      <c r="A83" s="8"/>
      <c r="B83" s="47"/>
      <c r="C83" s="5"/>
      <c r="D83" s="5"/>
      <c r="E83" s="48"/>
      <c r="F83" s="48"/>
      <c r="G83" s="48"/>
      <c r="H83" s="48"/>
      <c r="I83" s="48"/>
      <c r="J83" s="48"/>
      <c r="K83" s="342" t="s">
        <v>34</v>
      </c>
      <c r="L83" s="336"/>
      <c r="M83" s="53" t="s">
        <v>92</v>
      </c>
      <c r="N83" s="54"/>
      <c r="O83" s="54"/>
      <c r="P83" s="54"/>
      <c r="Q83" s="54"/>
      <c r="R83" s="54"/>
      <c r="S83" s="54"/>
      <c r="T83" s="54"/>
      <c r="U83" s="97"/>
    </row>
    <row r="84" spans="1:22" ht="13.2" x14ac:dyDescent="0.25">
      <c r="A84" s="8"/>
      <c r="B84" s="47"/>
      <c r="C84" s="5"/>
      <c r="D84" s="5"/>
      <c r="E84" s="35"/>
      <c r="F84" s="35"/>
      <c r="G84" s="35"/>
      <c r="H84" s="35"/>
      <c r="I84" s="35"/>
      <c r="J84" s="35"/>
      <c r="K84" s="355" t="s">
        <v>35</v>
      </c>
      <c r="L84" s="356"/>
      <c r="M84" s="98" t="s">
        <v>83</v>
      </c>
      <c r="N84" s="49"/>
      <c r="O84" s="41"/>
      <c r="P84" s="41"/>
      <c r="Q84" s="41"/>
      <c r="R84" s="41"/>
      <c r="S84" s="41"/>
      <c r="T84" s="41"/>
      <c r="U84" s="99"/>
    </row>
    <row r="85" spans="1:22" ht="13.2" x14ac:dyDescent="0.25">
      <c r="A85" s="8"/>
      <c r="B85" s="47"/>
      <c r="C85" s="5"/>
      <c r="D85" s="5"/>
      <c r="E85" s="35"/>
      <c r="F85" s="35"/>
      <c r="G85" s="35"/>
      <c r="H85" s="35"/>
      <c r="I85" s="35"/>
      <c r="J85" s="35"/>
      <c r="K85" s="348" t="s">
        <v>82</v>
      </c>
      <c r="L85" s="349"/>
      <c r="M85" s="49" t="s">
        <v>89</v>
      </c>
      <c r="N85" s="41"/>
      <c r="O85" s="41"/>
      <c r="P85" s="41"/>
      <c r="Q85" s="41"/>
      <c r="R85" s="41"/>
      <c r="S85" s="41"/>
      <c r="T85" s="41"/>
      <c r="U85" s="99"/>
    </row>
    <row r="86" spans="1:22" ht="35.25" customHeight="1" x14ac:dyDescent="0.25">
      <c r="A86" s="8"/>
      <c r="B86" s="47"/>
      <c r="C86" s="5"/>
      <c r="D86" s="5"/>
      <c r="E86" s="35"/>
      <c r="F86" s="35"/>
      <c r="G86" s="35"/>
      <c r="H86" s="35"/>
      <c r="I86" s="35"/>
      <c r="J86" s="35"/>
      <c r="K86" s="353" t="s">
        <v>82</v>
      </c>
      <c r="L86" s="354"/>
      <c r="M86" s="380" t="s">
        <v>87</v>
      </c>
      <c r="N86" s="380"/>
      <c r="O86" s="380"/>
      <c r="P86" s="380"/>
      <c r="Q86" s="380"/>
      <c r="R86" s="380"/>
      <c r="S86" s="380"/>
      <c r="T86" s="380"/>
      <c r="U86" s="100"/>
    </row>
    <row r="87" spans="1:22" ht="13.2" x14ac:dyDescent="0.25">
      <c r="A87" s="8"/>
      <c r="B87" s="358"/>
      <c r="C87" s="358"/>
      <c r="D87" s="358"/>
      <c r="E87" s="358"/>
      <c r="F87" s="358"/>
      <c r="G87" s="358"/>
      <c r="H87" s="358"/>
      <c r="I87" s="358"/>
      <c r="J87" s="358"/>
      <c r="K87" s="355" t="s">
        <v>36</v>
      </c>
      <c r="L87" s="356"/>
      <c r="M87" s="50" t="s">
        <v>81</v>
      </c>
      <c r="N87" s="49"/>
      <c r="O87" s="41"/>
      <c r="P87" s="41"/>
      <c r="Q87" s="41"/>
      <c r="R87" s="41"/>
      <c r="S87" s="41"/>
      <c r="T87" s="41"/>
      <c r="U87" s="99"/>
    </row>
    <row r="88" spans="1:22" ht="13.2" x14ac:dyDescent="0.25">
      <c r="A88" s="8"/>
      <c r="B88" s="347"/>
      <c r="C88" s="347"/>
      <c r="D88" s="347"/>
      <c r="E88" s="347"/>
      <c r="F88" s="347"/>
      <c r="G88" s="347"/>
      <c r="H88" s="347"/>
      <c r="I88" s="347"/>
      <c r="J88" s="347"/>
      <c r="K88" s="348" t="s">
        <v>82</v>
      </c>
      <c r="L88" s="349"/>
      <c r="M88" s="49" t="s">
        <v>91</v>
      </c>
      <c r="N88" s="49"/>
      <c r="O88" s="41"/>
      <c r="P88" s="41"/>
      <c r="Q88" s="41"/>
      <c r="R88" s="41"/>
      <c r="S88" s="41"/>
      <c r="T88" s="41"/>
      <c r="U88" s="99"/>
    </row>
    <row r="89" spans="1:22" ht="36" customHeight="1" x14ac:dyDescent="0.2">
      <c r="A89" s="8"/>
      <c r="B89" s="387" t="s">
        <v>102</v>
      </c>
      <c r="C89" s="387"/>
      <c r="D89" s="387"/>
      <c r="E89" s="387"/>
      <c r="F89" s="387"/>
      <c r="G89" s="387"/>
      <c r="H89" s="387"/>
      <c r="I89" s="387"/>
      <c r="J89" s="387"/>
      <c r="K89" s="348" t="s">
        <v>82</v>
      </c>
      <c r="L89" s="349"/>
      <c r="M89" s="343" t="s">
        <v>96</v>
      </c>
      <c r="N89" s="343"/>
      <c r="O89" s="343"/>
      <c r="P89" s="343"/>
      <c r="Q89" s="343"/>
      <c r="R89" s="343"/>
      <c r="S89" s="343"/>
      <c r="T89" s="343"/>
      <c r="U89" s="101"/>
    </row>
    <row r="90" spans="1:22" ht="37.5" customHeight="1" thickBot="1" x14ac:dyDescent="0.3">
      <c r="A90" s="102"/>
      <c r="B90" s="388" t="s">
        <v>88</v>
      </c>
      <c r="C90" s="388"/>
      <c r="D90" s="388"/>
      <c r="E90" s="388"/>
      <c r="F90" s="388"/>
      <c r="G90" s="388"/>
      <c r="H90" s="388"/>
      <c r="I90" s="388"/>
      <c r="J90" s="388"/>
      <c r="K90" s="376" t="s">
        <v>82</v>
      </c>
      <c r="L90" s="377"/>
      <c r="M90" s="351" t="s">
        <v>93</v>
      </c>
      <c r="N90" s="351"/>
      <c r="O90" s="351"/>
      <c r="P90" s="351"/>
      <c r="Q90" s="351"/>
      <c r="R90" s="351"/>
      <c r="S90" s="351"/>
      <c r="T90" s="351"/>
      <c r="U90" s="352"/>
      <c r="V90" s="5"/>
    </row>
    <row r="91" spans="1:22" s="143" customFormat="1" ht="14.25" customHeight="1" thickBot="1" x14ac:dyDescent="0.3">
      <c r="A91" s="337" t="s">
        <v>144</v>
      </c>
      <c r="B91" s="338"/>
      <c r="C91" s="338"/>
      <c r="D91" s="338"/>
      <c r="E91" s="338"/>
      <c r="F91" s="338"/>
      <c r="G91" s="338"/>
      <c r="H91" s="338"/>
      <c r="I91" s="338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9"/>
      <c r="V91" s="144"/>
    </row>
    <row r="92" spans="1:22" s="42" customFormat="1" ht="13.5" customHeight="1" x14ac:dyDescent="0.25">
      <c r="A92" s="104"/>
      <c r="B92" s="344" t="s">
        <v>33</v>
      </c>
      <c r="C92" s="345"/>
      <c r="D92" s="346" t="s">
        <v>137</v>
      </c>
      <c r="E92" s="346"/>
      <c r="F92" s="346"/>
      <c r="G92" s="346"/>
      <c r="H92" s="346"/>
      <c r="I92" s="346"/>
      <c r="J92" s="346"/>
      <c r="K92" s="346"/>
      <c r="L92" s="346"/>
      <c r="M92" s="346"/>
      <c r="N92" s="346"/>
      <c r="O92" s="346"/>
      <c r="P92" s="346"/>
      <c r="Q92" s="346"/>
      <c r="R92" s="346"/>
      <c r="S92" s="346"/>
      <c r="T92" s="105"/>
      <c r="U92" s="106"/>
      <c r="V92" s="41"/>
    </row>
    <row r="93" spans="1:22" s="42" customFormat="1" ht="13.5" customHeight="1" x14ac:dyDescent="0.25">
      <c r="A93" s="107"/>
      <c r="B93" s="335" t="s">
        <v>34</v>
      </c>
      <c r="C93" s="336"/>
      <c r="D93" s="357" t="s">
        <v>138</v>
      </c>
      <c r="E93" s="357"/>
      <c r="F93" s="357"/>
      <c r="G93" s="357"/>
      <c r="H93" s="357"/>
      <c r="I93" s="357"/>
      <c r="J93" s="357"/>
      <c r="K93" s="357"/>
      <c r="L93" s="357"/>
      <c r="M93" s="357"/>
      <c r="N93" s="357"/>
      <c r="O93" s="357"/>
      <c r="P93" s="357"/>
      <c r="Q93" s="357"/>
      <c r="R93" s="357"/>
      <c r="S93" s="357"/>
      <c r="T93" s="51"/>
      <c r="U93" s="108"/>
      <c r="V93" s="41"/>
    </row>
    <row r="94" spans="1:22" s="42" customFormat="1" ht="13.5" customHeight="1" x14ac:dyDescent="0.25">
      <c r="A94" s="107"/>
      <c r="B94" s="335" t="s">
        <v>35</v>
      </c>
      <c r="C94" s="336"/>
      <c r="D94" s="357" t="s">
        <v>141</v>
      </c>
      <c r="E94" s="357"/>
      <c r="F94" s="357"/>
      <c r="G94" s="357"/>
      <c r="H94" s="357"/>
      <c r="I94" s="357"/>
      <c r="J94" s="357"/>
      <c r="K94" s="357"/>
      <c r="L94" s="357"/>
      <c r="M94" s="357"/>
      <c r="N94" s="357"/>
      <c r="O94" s="357"/>
      <c r="P94" s="357"/>
      <c r="Q94" s="357"/>
      <c r="R94" s="357"/>
      <c r="S94" s="357"/>
      <c r="T94" s="357"/>
      <c r="U94" s="108"/>
      <c r="V94" s="41"/>
    </row>
    <row r="95" spans="1:22" s="42" customFormat="1" ht="13.5" customHeight="1" thickBot="1" x14ac:dyDescent="0.3">
      <c r="A95" s="210"/>
      <c r="B95" s="335" t="s">
        <v>36</v>
      </c>
      <c r="C95" s="336"/>
      <c r="D95" s="213" t="s">
        <v>164</v>
      </c>
      <c r="E95" s="211"/>
      <c r="F95" s="211"/>
      <c r="G95" s="211"/>
      <c r="H95" s="211"/>
      <c r="I95" s="211"/>
      <c r="J95" s="211"/>
      <c r="K95" s="211"/>
      <c r="L95" s="211"/>
      <c r="M95" s="211"/>
      <c r="N95" s="211"/>
      <c r="O95" s="211"/>
      <c r="P95" s="211"/>
      <c r="Q95" s="211"/>
      <c r="R95" s="211"/>
      <c r="S95" s="211"/>
      <c r="T95" s="211"/>
      <c r="U95" s="212"/>
      <c r="V95" s="41"/>
    </row>
    <row r="96" spans="1:22" s="143" customFormat="1" ht="14.25" customHeight="1" thickBot="1" x14ac:dyDescent="0.3">
      <c r="A96" s="337" t="s">
        <v>60</v>
      </c>
      <c r="B96" s="338"/>
      <c r="C96" s="338"/>
      <c r="D96" s="338"/>
      <c r="E96" s="338"/>
      <c r="F96" s="338"/>
      <c r="G96" s="338"/>
      <c r="H96" s="338"/>
      <c r="I96" s="338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9"/>
      <c r="V96" s="144"/>
    </row>
    <row r="97" spans="1:22" s="42" customFormat="1" ht="13.5" customHeight="1" x14ac:dyDescent="0.2">
      <c r="A97" s="121"/>
      <c r="B97" s="359" t="s">
        <v>33</v>
      </c>
      <c r="C97" s="360"/>
      <c r="D97" s="319" t="s">
        <v>140</v>
      </c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103"/>
      <c r="U97" s="122"/>
      <c r="V97" s="41"/>
    </row>
    <row r="98" spans="1:22" s="42" customFormat="1" ht="23.25" customHeight="1" x14ac:dyDescent="0.25">
      <c r="A98" s="107"/>
      <c r="B98" s="335" t="s">
        <v>34</v>
      </c>
      <c r="C98" s="336"/>
      <c r="D98" s="378" t="s">
        <v>252</v>
      </c>
      <c r="E98" s="378"/>
      <c r="F98" s="378"/>
      <c r="G98" s="378"/>
      <c r="H98" s="378"/>
      <c r="I98" s="378"/>
      <c r="J98" s="378"/>
      <c r="K98" s="378"/>
      <c r="L98" s="378"/>
      <c r="M98" s="378"/>
      <c r="N98" s="378"/>
      <c r="O98" s="378"/>
      <c r="P98" s="378"/>
      <c r="Q98" s="378"/>
      <c r="R98" s="378"/>
      <c r="S98" s="378"/>
      <c r="T98" s="378"/>
      <c r="U98" s="379"/>
      <c r="V98" s="41"/>
    </row>
    <row r="99" spans="1:22" s="42" customFormat="1" ht="13.5" customHeight="1" x14ac:dyDescent="0.25">
      <c r="A99" s="107"/>
      <c r="B99" s="335" t="s">
        <v>35</v>
      </c>
      <c r="C99" s="336"/>
      <c r="D99" s="378" t="s">
        <v>104</v>
      </c>
      <c r="E99" s="378"/>
      <c r="F99" s="378"/>
      <c r="G99" s="378"/>
      <c r="H99" s="378"/>
      <c r="I99" s="378"/>
      <c r="J99" s="378"/>
      <c r="K99" s="378"/>
      <c r="L99" s="378"/>
      <c r="M99" s="378"/>
      <c r="N99" s="378"/>
      <c r="O99" s="378"/>
      <c r="P99" s="378"/>
      <c r="Q99" s="378"/>
      <c r="R99" s="378"/>
      <c r="S99" s="378"/>
      <c r="T99" s="51"/>
      <c r="U99" s="108"/>
      <c r="V99" s="41"/>
    </row>
    <row r="100" spans="1:22" s="42" customFormat="1" ht="13.5" customHeight="1" x14ac:dyDescent="0.25">
      <c r="A100" s="297"/>
      <c r="B100" s="335" t="s">
        <v>36</v>
      </c>
      <c r="C100" s="336"/>
      <c r="D100" s="378" t="s">
        <v>280</v>
      </c>
      <c r="E100" s="378"/>
      <c r="F100" s="378"/>
      <c r="G100" s="378"/>
      <c r="H100" s="378"/>
      <c r="I100" s="378"/>
      <c r="J100" s="378"/>
      <c r="K100" s="378"/>
      <c r="L100" s="378"/>
      <c r="M100" s="378"/>
      <c r="N100" s="378"/>
      <c r="O100" s="378"/>
      <c r="P100" s="378"/>
      <c r="Q100" s="378"/>
      <c r="R100" s="378"/>
      <c r="S100" s="378"/>
      <c r="T100" s="378"/>
      <c r="U100" s="298"/>
      <c r="V100" s="41"/>
    </row>
    <row r="101" spans="1:22" s="45" customFormat="1" ht="12.6" thickBot="1" x14ac:dyDescent="0.3">
      <c r="A101" s="120"/>
      <c r="B101" s="361" t="s">
        <v>178</v>
      </c>
      <c r="C101" s="362"/>
      <c r="D101" s="405" t="s">
        <v>279</v>
      </c>
      <c r="E101" s="405"/>
      <c r="F101" s="405"/>
      <c r="G101" s="405"/>
      <c r="H101" s="405"/>
      <c r="I101" s="405"/>
      <c r="J101" s="405"/>
      <c r="K101" s="405"/>
      <c r="L101" s="405"/>
      <c r="M101" s="405"/>
      <c r="N101" s="405"/>
      <c r="O101" s="405"/>
      <c r="P101" s="405"/>
      <c r="Q101" s="405"/>
      <c r="R101" s="405"/>
      <c r="S101" s="405"/>
      <c r="T101" s="405"/>
      <c r="U101" s="406"/>
      <c r="V101" s="44"/>
    </row>
    <row r="102" spans="1:22" s="143" customFormat="1" ht="14.25" customHeight="1" thickBot="1" x14ac:dyDescent="0.3">
      <c r="A102" s="337" t="s">
        <v>74</v>
      </c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  <c r="N102" s="338"/>
      <c r="O102" s="338"/>
      <c r="P102" s="338"/>
      <c r="Q102" s="338"/>
      <c r="R102" s="338"/>
      <c r="S102" s="338"/>
      <c r="T102" s="338"/>
      <c r="U102" s="339"/>
      <c r="V102" s="144"/>
    </row>
    <row r="103" spans="1:22" s="45" customFormat="1" ht="23.25" customHeight="1" x14ac:dyDescent="0.25">
      <c r="A103" s="123"/>
      <c r="B103" s="359" t="s">
        <v>33</v>
      </c>
      <c r="C103" s="360"/>
      <c r="D103" s="385" t="s">
        <v>153</v>
      </c>
      <c r="E103" s="385"/>
      <c r="F103" s="385"/>
      <c r="G103" s="385"/>
      <c r="H103" s="385"/>
      <c r="I103" s="385"/>
      <c r="J103" s="385"/>
      <c r="K103" s="385"/>
      <c r="L103" s="385"/>
      <c r="M103" s="385"/>
      <c r="N103" s="385"/>
      <c r="O103" s="385"/>
      <c r="P103" s="385"/>
      <c r="Q103" s="385"/>
      <c r="R103" s="385"/>
      <c r="S103" s="385"/>
      <c r="T103" s="385"/>
      <c r="U103" s="386"/>
      <c r="V103" s="44"/>
    </row>
    <row r="104" spans="1:22" s="45" customFormat="1" ht="23.25" customHeight="1" x14ac:dyDescent="0.25">
      <c r="A104" s="109"/>
      <c r="B104" s="335" t="s">
        <v>34</v>
      </c>
      <c r="C104" s="336"/>
      <c r="D104" s="318" t="s">
        <v>278</v>
      </c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110"/>
      <c r="V104" s="44"/>
    </row>
    <row r="105" spans="1:22" s="45" customFormat="1" ht="13.5" customHeight="1" thickBot="1" x14ac:dyDescent="0.3">
      <c r="A105" s="111"/>
      <c r="B105" s="361" t="s">
        <v>35</v>
      </c>
      <c r="C105" s="362"/>
      <c r="D105" s="394" t="s">
        <v>100</v>
      </c>
      <c r="E105" s="394"/>
      <c r="F105" s="394"/>
      <c r="G105" s="394"/>
      <c r="H105" s="394"/>
      <c r="I105" s="394"/>
      <c r="J105" s="394"/>
      <c r="K105" s="394"/>
      <c r="L105" s="394"/>
      <c r="M105" s="394"/>
      <c r="N105" s="394"/>
      <c r="O105" s="394"/>
      <c r="P105" s="394"/>
      <c r="Q105" s="394"/>
      <c r="R105" s="394"/>
      <c r="S105" s="394"/>
      <c r="T105" s="52"/>
      <c r="U105" s="112"/>
      <c r="V105" s="44"/>
    </row>
    <row r="106" spans="1:22" s="143" customFormat="1" ht="14.25" customHeight="1" thickBot="1" x14ac:dyDescent="0.3">
      <c r="A106" s="381" t="s">
        <v>142</v>
      </c>
      <c r="B106" s="382"/>
      <c r="C106" s="382"/>
      <c r="D106" s="382"/>
      <c r="E106" s="382"/>
      <c r="F106" s="382"/>
      <c r="G106" s="382"/>
      <c r="H106" s="382"/>
      <c r="I106" s="382"/>
      <c r="J106" s="382"/>
      <c r="K106" s="382"/>
      <c r="L106" s="382"/>
      <c r="M106" s="382"/>
      <c r="N106" s="382"/>
      <c r="O106" s="382"/>
      <c r="P106" s="382"/>
      <c r="Q106" s="382"/>
      <c r="R106" s="382"/>
      <c r="S106" s="382"/>
      <c r="T106" s="382"/>
      <c r="U106" s="383"/>
      <c r="V106" s="144"/>
    </row>
    <row r="107" spans="1:22" s="45" customFormat="1" ht="24" customHeight="1" thickBot="1" x14ac:dyDescent="0.3">
      <c r="A107" s="137"/>
      <c r="B107" s="398" t="s">
        <v>191</v>
      </c>
      <c r="C107" s="398"/>
      <c r="D107" s="398"/>
      <c r="E107" s="398"/>
      <c r="F107" s="398"/>
      <c r="G107" s="398"/>
      <c r="H107" s="398"/>
      <c r="I107" s="398"/>
      <c r="J107" s="398"/>
      <c r="K107" s="398"/>
      <c r="L107" s="398"/>
      <c r="M107" s="398"/>
      <c r="N107" s="398"/>
      <c r="O107" s="398"/>
      <c r="P107" s="398"/>
      <c r="Q107" s="398"/>
      <c r="R107" s="398"/>
      <c r="S107" s="398"/>
      <c r="T107" s="398"/>
      <c r="U107" s="399"/>
      <c r="V107" s="44"/>
    </row>
    <row r="108" spans="1:22" s="143" customFormat="1" ht="14.25" customHeight="1" thickBot="1" x14ac:dyDescent="0.3">
      <c r="A108" s="337" t="s">
        <v>59</v>
      </c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9"/>
      <c r="V108" s="144"/>
    </row>
    <row r="109" spans="1:22" s="45" customFormat="1" ht="13.5" customHeight="1" x14ac:dyDescent="0.25">
      <c r="A109" s="123"/>
      <c r="B109" s="359" t="s">
        <v>33</v>
      </c>
      <c r="C109" s="360"/>
      <c r="D109" s="318" t="s">
        <v>145</v>
      </c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124"/>
      <c r="U109" s="125"/>
      <c r="V109" s="44"/>
    </row>
    <row r="110" spans="1:22" s="45" customFormat="1" ht="13.5" customHeight="1" x14ac:dyDescent="0.25">
      <c r="A110" s="109"/>
      <c r="B110" s="335" t="s">
        <v>34</v>
      </c>
      <c r="C110" s="336"/>
      <c r="D110" s="318" t="s">
        <v>71</v>
      </c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43"/>
      <c r="U110" s="110"/>
      <c r="V110" s="44"/>
    </row>
    <row r="111" spans="1:22" s="45" customFormat="1" ht="13.5" customHeight="1" x14ac:dyDescent="0.25">
      <c r="A111" s="111"/>
      <c r="B111" s="361" t="s">
        <v>35</v>
      </c>
      <c r="C111" s="362"/>
      <c r="D111" s="363" t="s">
        <v>146</v>
      </c>
      <c r="E111" s="363"/>
      <c r="F111" s="363"/>
      <c r="G111" s="363"/>
      <c r="H111" s="363"/>
      <c r="I111" s="363"/>
      <c r="J111" s="363"/>
      <c r="K111" s="363"/>
      <c r="L111" s="363"/>
      <c r="M111" s="363"/>
      <c r="N111" s="363"/>
      <c r="O111" s="363"/>
      <c r="P111" s="363"/>
      <c r="Q111" s="363"/>
      <c r="R111" s="363"/>
      <c r="S111" s="363"/>
      <c r="T111" s="52"/>
      <c r="U111" s="112"/>
      <c r="V111" s="44"/>
    </row>
    <row r="112" spans="1:22" ht="30" customHeight="1" x14ac:dyDescent="0.25">
      <c r="A112" s="113"/>
      <c r="B112" s="375" t="s">
        <v>53</v>
      </c>
      <c r="C112" s="375"/>
      <c r="D112" s="375"/>
      <c r="E112" s="375"/>
      <c r="F112" s="375"/>
      <c r="G112" s="375"/>
      <c r="H112" s="375"/>
      <c r="I112" s="375"/>
      <c r="J112" s="375"/>
      <c r="K112" s="375"/>
      <c r="L112" s="375"/>
      <c r="M112" s="375"/>
      <c r="N112" s="375"/>
      <c r="O112" s="375"/>
      <c r="P112" s="375"/>
      <c r="Q112" s="375"/>
      <c r="R112" s="375"/>
      <c r="S112" s="375"/>
      <c r="T112" s="375"/>
      <c r="U112" s="114"/>
      <c r="V112" s="5"/>
    </row>
    <row r="113" spans="1:22" ht="28.5" customHeight="1" x14ac:dyDescent="0.25">
      <c r="A113" s="8"/>
      <c r="B113" s="373" t="s">
        <v>55</v>
      </c>
      <c r="C113" s="373"/>
      <c r="D113" s="373"/>
      <c r="E113" s="373"/>
      <c r="F113" s="373"/>
      <c r="G113" s="373"/>
      <c r="H113" s="373"/>
      <c r="I113" s="373"/>
      <c r="J113" s="384" t="s">
        <v>57</v>
      </c>
      <c r="K113" s="384"/>
      <c r="L113" s="384"/>
      <c r="M113" s="373" t="s">
        <v>58</v>
      </c>
      <c r="N113" s="373"/>
      <c r="O113" s="373"/>
      <c r="P113" s="373"/>
      <c r="Q113" s="373"/>
      <c r="R113" s="373"/>
      <c r="S113" s="373"/>
      <c r="T113" s="373"/>
      <c r="U113" s="114"/>
      <c r="V113" s="5"/>
    </row>
    <row r="114" spans="1:22" ht="13.8" x14ac:dyDescent="0.25">
      <c r="A114" s="8"/>
      <c r="B114" s="374"/>
      <c r="C114" s="374"/>
      <c r="D114" s="374"/>
      <c r="E114" s="374"/>
      <c r="F114" s="374"/>
      <c r="G114" s="374"/>
      <c r="H114" s="374"/>
      <c r="I114" s="374"/>
      <c r="J114" s="372">
        <v>7</v>
      </c>
      <c r="K114" s="372"/>
      <c r="L114" s="372"/>
      <c r="M114" s="374" t="s">
        <v>111</v>
      </c>
      <c r="N114" s="374"/>
      <c r="O114" s="374"/>
      <c r="P114" s="374"/>
      <c r="Q114" s="374"/>
      <c r="R114" s="374"/>
      <c r="S114" s="374"/>
      <c r="T114" s="374"/>
      <c r="U114" s="114"/>
      <c r="V114" s="5"/>
    </row>
    <row r="115" spans="1:22" ht="13.8" x14ac:dyDescent="0.25">
      <c r="A115" s="8"/>
      <c r="B115" s="374" t="s">
        <v>111</v>
      </c>
      <c r="C115" s="374"/>
      <c r="D115" s="374"/>
      <c r="E115" s="374"/>
      <c r="F115" s="374"/>
      <c r="G115" s="374"/>
      <c r="H115" s="374"/>
      <c r="I115" s="374"/>
      <c r="J115" s="372">
        <v>6</v>
      </c>
      <c r="K115" s="372"/>
      <c r="L115" s="372"/>
      <c r="M115" s="374" t="s">
        <v>120</v>
      </c>
      <c r="N115" s="374"/>
      <c r="O115" s="374"/>
      <c r="P115" s="374"/>
      <c r="Q115" s="374"/>
      <c r="R115" s="374"/>
      <c r="S115" s="374"/>
      <c r="T115" s="374"/>
      <c r="U115" s="114"/>
      <c r="V115" s="5"/>
    </row>
    <row r="116" spans="1:22" ht="13.8" x14ac:dyDescent="0.25">
      <c r="A116" s="8"/>
      <c r="B116" s="374" t="s">
        <v>120</v>
      </c>
      <c r="C116" s="374"/>
      <c r="D116" s="374"/>
      <c r="E116" s="374"/>
      <c r="F116" s="374"/>
      <c r="G116" s="374"/>
      <c r="H116" s="374"/>
      <c r="I116" s="374"/>
      <c r="J116" s="372">
        <v>5</v>
      </c>
      <c r="K116" s="372"/>
      <c r="L116" s="372"/>
      <c r="M116" s="374" t="s">
        <v>127</v>
      </c>
      <c r="N116" s="374"/>
      <c r="O116" s="374"/>
      <c r="P116" s="374"/>
      <c r="Q116" s="374"/>
      <c r="R116" s="374"/>
      <c r="S116" s="374"/>
      <c r="T116" s="374"/>
      <c r="U116" s="114"/>
      <c r="V116" s="5"/>
    </row>
    <row r="117" spans="1:22" ht="13.8" x14ac:dyDescent="0.25">
      <c r="A117" s="8"/>
      <c r="B117" s="374" t="s">
        <v>127</v>
      </c>
      <c r="C117" s="374"/>
      <c r="D117" s="374"/>
      <c r="E117" s="374"/>
      <c r="F117" s="374"/>
      <c r="G117" s="374"/>
      <c r="H117" s="374"/>
      <c r="I117" s="374"/>
      <c r="J117" s="372">
        <v>4</v>
      </c>
      <c r="K117" s="372"/>
      <c r="L117" s="372"/>
      <c r="M117" s="374" t="s">
        <v>128</v>
      </c>
      <c r="N117" s="374"/>
      <c r="O117" s="374"/>
      <c r="P117" s="374"/>
      <c r="Q117" s="374"/>
      <c r="R117" s="374"/>
      <c r="S117" s="374"/>
      <c r="T117" s="374"/>
      <c r="U117" s="114"/>
      <c r="V117" s="5"/>
    </row>
    <row r="118" spans="1:22" ht="28.5" customHeight="1" x14ac:dyDescent="0.25">
      <c r="A118" s="8"/>
      <c r="B118" s="400" t="s">
        <v>170</v>
      </c>
      <c r="C118" s="400"/>
      <c r="D118" s="400"/>
      <c r="E118" s="400"/>
      <c r="F118" s="400"/>
      <c r="G118" s="400"/>
      <c r="H118" s="400"/>
      <c r="I118" s="400"/>
      <c r="J118" s="372">
        <v>3</v>
      </c>
      <c r="K118" s="372"/>
      <c r="L118" s="372"/>
      <c r="M118" s="374" t="s">
        <v>171</v>
      </c>
      <c r="N118" s="374"/>
      <c r="O118" s="374"/>
      <c r="P118" s="374"/>
      <c r="Q118" s="374"/>
      <c r="R118" s="374"/>
      <c r="S118" s="374"/>
      <c r="T118" s="374"/>
      <c r="U118" s="114"/>
      <c r="V118" s="5"/>
    </row>
    <row r="119" spans="1:22" ht="28.5" customHeight="1" x14ac:dyDescent="0.25">
      <c r="A119" s="8"/>
      <c r="B119" s="374" t="s">
        <v>98</v>
      </c>
      <c r="C119" s="374"/>
      <c r="D119" s="374"/>
      <c r="E119" s="374"/>
      <c r="F119" s="374"/>
      <c r="G119" s="374"/>
      <c r="H119" s="374"/>
      <c r="I119" s="374"/>
      <c r="J119" s="372">
        <v>2</v>
      </c>
      <c r="K119" s="372"/>
      <c r="L119" s="372"/>
      <c r="M119" s="374" t="s">
        <v>99</v>
      </c>
      <c r="N119" s="374"/>
      <c r="O119" s="374"/>
      <c r="P119" s="374"/>
      <c r="Q119" s="374"/>
      <c r="R119" s="374"/>
      <c r="S119" s="374"/>
      <c r="T119" s="374"/>
      <c r="U119" s="114"/>
      <c r="V119" s="5"/>
    </row>
    <row r="120" spans="1:22" ht="28.5" customHeight="1" x14ac:dyDescent="0.25">
      <c r="A120" s="8"/>
      <c r="B120" s="374" t="s">
        <v>108</v>
      </c>
      <c r="C120" s="374"/>
      <c r="D120" s="374"/>
      <c r="E120" s="374"/>
      <c r="F120" s="374"/>
      <c r="G120" s="374"/>
      <c r="H120" s="374"/>
      <c r="I120" s="374"/>
      <c r="J120" s="372">
        <v>1</v>
      </c>
      <c r="K120" s="372"/>
      <c r="L120" s="372"/>
      <c r="M120" s="374" t="s">
        <v>109</v>
      </c>
      <c r="N120" s="374"/>
      <c r="O120" s="374"/>
      <c r="P120" s="374"/>
      <c r="Q120" s="374"/>
      <c r="R120" s="374"/>
      <c r="S120" s="374"/>
      <c r="T120" s="374"/>
      <c r="U120" s="114"/>
      <c r="V120" s="5"/>
    </row>
    <row r="121" spans="1:22" ht="28.5" customHeight="1" x14ac:dyDescent="0.25">
      <c r="A121" s="8"/>
      <c r="B121" s="374" t="s">
        <v>173</v>
      </c>
      <c r="C121" s="374"/>
      <c r="D121" s="374"/>
      <c r="E121" s="374"/>
      <c r="F121" s="374"/>
      <c r="G121" s="374"/>
      <c r="H121" s="374"/>
      <c r="I121" s="374"/>
      <c r="J121" s="372">
        <v>0</v>
      </c>
      <c r="K121" s="372"/>
      <c r="L121" s="372"/>
      <c r="M121" s="374" t="s">
        <v>172</v>
      </c>
      <c r="N121" s="374"/>
      <c r="O121" s="374"/>
      <c r="P121" s="374"/>
      <c r="Q121" s="374"/>
      <c r="R121" s="374"/>
      <c r="S121" s="374"/>
      <c r="T121" s="374"/>
      <c r="U121" s="114"/>
      <c r="V121" s="5"/>
    </row>
    <row r="122" spans="1:22" s="10" customFormat="1" ht="2.25" customHeight="1" thickBot="1" x14ac:dyDescent="0.3">
      <c r="A122" s="115"/>
      <c r="B122" s="116"/>
      <c r="C122" s="116"/>
      <c r="D122" s="116"/>
      <c r="E122" s="116"/>
      <c r="F122" s="116"/>
      <c r="G122" s="116"/>
      <c r="H122" s="116"/>
      <c r="I122" s="116"/>
      <c r="J122" s="116"/>
      <c r="K122" s="116"/>
      <c r="L122" s="116"/>
      <c r="M122" s="116"/>
      <c r="N122" s="116"/>
      <c r="O122" s="117"/>
      <c r="P122" s="118"/>
      <c r="Q122" s="118"/>
      <c r="R122" s="118"/>
      <c r="S122" s="118"/>
      <c r="T122" s="118"/>
      <c r="U122" s="119"/>
      <c r="V122" s="37"/>
    </row>
    <row r="123" spans="1:22" ht="12.75" customHeight="1" x14ac:dyDescent="0.25">
      <c r="A123" s="5"/>
      <c r="B123" s="4"/>
      <c r="C123" s="36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1:22" ht="12.75" customHeight="1" x14ac:dyDescent="0.25">
      <c r="E124" s="2"/>
      <c r="H124" s="2"/>
      <c r="K124" s="2"/>
      <c r="N124" s="2"/>
      <c r="Q124" s="2"/>
    </row>
    <row r="125" spans="1:22" ht="12.75" customHeight="1" x14ac:dyDescent="0.25">
      <c r="E125" s="2"/>
      <c r="H125" s="2"/>
      <c r="K125" s="2"/>
      <c r="N125" s="2"/>
      <c r="Q125" s="2"/>
    </row>
    <row r="126" spans="1:22" ht="12.75" customHeight="1" x14ac:dyDescent="0.25">
      <c r="E126" s="2"/>
      <c r="H126" s="2"/>
      <c r="K126" s="2"/>
      <c r="N126" s="2"/>
      <c r="Q126" s="2"/>
    </row>
    <row r="127" spans="1:22" ht="12.75" customHeight="1" x14ac:dyDescent="0.25">
      <c r="E127" s="2"/>
      <c r="H127" s="2"/>
      <c r="K127" s="2"/>
      <c r="N127" s="2"/>
      <c r="Q127" s="2"/>
    </row>
    <row r="128" spans="1:22" ht="12.75" customHeight="1" x14ac:dyDescent="0.25">
      <c r="E128" s="2"/>
      <c r="H128" s="2"/>
      <c r="K128" s="2"/>
      <c r="N128" s="2"/>
      <c r="Q128" s="2"/>
    </row>
    <row r="129" spans="5:17" ht="12.75" customHeight="1" x14ac:dyDescent="0.25">
      <c r="E129" s="2"/>
      <c r="H129" s="2"/>
      <c r="K129" s="2"/>
      <c r="N129" s="2"/>
      <c r="Q129" s="2"/>
    </row>
    <row r="130" spans="5:17" ht="12.75" customHeight="1" x14ac:dyDescent="0.25">
      <c r="E130" s="2"/>
      <c r="H130" s="2"/>
      <c r="K130" s="2"/>
      <c r="N130" s="2"/>
      <c r="Q130" s="2"/>
    </row>
    <row r="131" spans="5:17" ht="12.75" customHeight="1" x14ac:dyDescent="0.25">
      <c r="E131" s="2"/>
      <c r="H131" s="2"/>
      <c r="K131" s="2"/>
      <c r="N131" s="2"/>
      <c r="Q131" s="2"/>
    </row>
    <row r="132" spans="5:17" ht="12.75" customHeight="1" x14ac:dyDescent="0.25">
      <c r="E132" s="2"/>
      <c r="H132" s="2"/>
      <c r="K132" s="2"/>
      <c r="N132" s="2"/>
      <c r="Q132" s="2"/>
    </row>
    <row r="133" spans="5:17" ht="12.75" customHeight="1" x14ac:dyDescent="0.25">
      <c r="E133" s="2"/>
      <c r="H133" s="2"/>
      <c r="K133" s="2"/>
      <c r="N133" s="2"/>
      <c r="Q133" s="2"/>
    </row>
    <row r="134" spans="5:17" ht="12.75" customHeight="1" x14ac:dyDescent="0.25">
      <c r="E134" s="2"/>
      <c r="H134" s="2"/>
      <c r="K134" s="2"/>
      <c r="N134" s="2"/>
      <c r="Q134" s="2"/>
    </row>
    <row r="135" spans="5:17" ht="12.75" customHeight="1" x14ac:dyDescent="0.25">
      <c r="E135" s="2"/>
      <c r="H135" s="2"/>
      <c r="K135" s="2"/>
      <c r="N135" s="2"/>
      <c r="Q135" s="2"/>
    </row>
    <row r="136" spans="5:17" ht="12.75" customHeight="1" x14ac:dyDescent="0.25">
      <c r="E136" s="2"/>
      <c r="H136" s="2"/>
      <c r="K136" s="2"/>
      <c r="N136" s="2"/>
      <c r="Q136" s="2"/>
    </row>
    <row r="137" spans="5:17" ht="12.75" customHeight="1" x14ac:dyDescent="0.25">
      <c r="E137" s="2"/>
      <c r="H137" s="2"/>
      <c r="K137" s="2"/>
      <c r="N137" s="2"/>
      <c r="Q137" s="2"/>
    </row>
    <row r="138" spans="5:17" ht="12.75" customHeight="1" x14ac:dyDescent="0.25">
      <c r="E138" s="2"/>
      <c r="H138" s="2"/>
      <c r="K138" s="2"/>
      <c r="N138" s="2"/>
      <c r="Q138" s="2"/>
    </row>
    <row r="139" spans="5:17" ht="12.75" customHeight="1" x14ac:dyDescent="0.25">
      <c r="E139" s="2"/>
      <c r="H139" s="2"/>
      <c r="K139" s="2"/>
      <c r="N139" s="2"/>
      <c r="Q139" s="2"/>
    </row>
    <row r="140" spans="5:17" ht="12.75" customHeight="1" x14ac:dyDescent="0.25">
      <c r="E140" s="2"/>
      <c r="H140" s="2"/>
      <c r="K140" s="2"/>
      <c r="N140" s="2"/>
      <c r="Q140" s="2"/>
    </row>
    <row r="141" spans="5:17" ht="12.75" customHeight="1" x14ac:dyDescent="0.25">
      <c r="E141" s="2"/>
      <c r="H141" s="2"/>
      <c r="K141" s="2"/>
      <c r="N141" s="2"/>
      <c r="Q141" s="2"/>
    </row>
    <row r="142" spans="5:17" ht="12.75" customHeight="1" x14ac:dyDescent="0.25">
      <c r="E142" s="2"/>
      <c r="H142" s="2"/>
      <c r="K142" s="2"/>
      <c r="N142" s="2"/>
      <c r="Q142" s="2"/>
    </row>
  </sheetData>
  <mergeCells count="242">
    <mergeCell ref="D27:D29"/>
    <mergeCell ref="G54:G56"/>
    <mergeCell ref="J54:J56"/>
    <mergeCell ref="Q66:Q69"/>
    <mergeCell ref="N29:N33"/>
    <mergeCell ref="E74:E78"/>
    <mergeCell ref="Q72:U73"/>
    <mergeCell ref="S48:S49"/>
    <mergeCell ref="T48:T50"/>
    <mergeCell ref="T40:T42"/>
    <mergeCell ref="H29:H33"/>
    <mergeCell ref="J27:J29"/>
    <mergeCell ref="S40:S41"/>
    <mergeCell ref="T66:T69"/>
    <mergeCell ref="D56:D59"/>
    <mergeCell ref="D37:D38"/>
    <mergeCell ref="D45:D46"/>
    <mergeCell ref="D47:D49"/>
    <mergeCell ref="M45:M46"/>
    <mergeCell ref="P45:P46"/>
    <mergeCell ref="D39:D41"/>
    <mergeCell ref="G39:G41"/>
    <mergeCell ref="J66:J68"/>
    <mergeCell ref="AO4:AO8"/>
    <mergeCell ref="AC4:AC8"/>
    <mergeCell ref="AE11:AE15"/>
    <mergeCell ref="AH11:AH15"/>
    <mergeCell ref="AH4:AH8"/>
    <mergeCell ref="AE4:AE8"/>
    <mergeCell ref="AF4:AF8"/>
    <mergeCell ref="AO11:AO15"/>
    <mergeCell ref="AL11:AL15"/>
    <mergeCell ref="AI11:AI15"/>
    <mergeCell ref="AF11:AF15"/>
    <mergeCell ref="AC11:AC15"/>
    <mergeCell ref="AK11:AK15"/>
    <mergeCell ref="AN11:AN15"/>
    <mergeCell ref="AN4:AN8"/>
    <mergeCell ref="AK4:AK8"/>
    <mergeCell ref="AI4:AI8"/>
    <mergeCell ref="AL4:AL8"/>
    <mergeCell ref="S13:U13"/>
    <mergeCell ref="AB4:AB8"/>
    <mergeCell ref="AB11:AB15"/>
    <mergeCell ref="J11:J14"/>
    <mergeCell ref="J7:J8"/>
    <mergeCell ref="J4:J5"/>
    <mergeCell ref="S7:S8"/>
    <mergeCell ref="P4:P6"/>
    <mergeCell ref="N10:N14"/>
    <mergeCell ref="P11:P13"/>
    <mergeCell ref="M5:M6"/>
    <mergeCell ref="P7:P8"/>
    <mergeCell ref="Q10:Q14"/>
    <mergeCell ref="T4:T7"/>
    <mergeCell ref="N4:N7"/>
    <mergeCell ref="Q3:Q7"/>
    <mergeCell ref="S5:S6"/>
    <mergeCell ref="S10:T10"/>
    <mergeCell ref="M11:M12"/>
    <mergeCell ref="B107:U107"/>
    <mergeCell ref="B121:I121"/>
    <mergeCell ref="J120:L120"/>
    <mergeCell ref="M120:T120"/>
    <mergeCell ref="B118:I118"/>
    <mergeCell ref="B104:C104"/>
    <mergeCell ref="D18:D20"/>
    <mergeCell ref="M18:M20"/>
    <mergeCell ref="P18:P20"/>
    <mergeCell ref="J18:J20"/>
    <mergeCell ref="H64:H69"/>
    <mergeCell ref="Q30:Q33"/>
    <mergeCell ref="K66:K69"/>
    <mergeCell ref="N66:N69"/>
    <mergeCell ref="S67:S68"/>
    <mergeCell ref="K37:K42"/>
    <mergeCell ref="P58:P59"/>
    <mergeCell ref="M58:M59"/>
    <mergeCell ref="G78:U79"/>
    <mergeCell ref="D65:D67"/>
    <mergeCell ref="C70:D70"/>
    <mergeCell ref="J121:L121"/>
    <mergeCell ref="B119:I119"/>
    <mergeCell ref="B120:I120"/>
    <mergeCell ref="A102:U102"/>
    <mergeCell ref="J118:L118"/>
    <mergeCell ref="J119:L119"/>
    <mergeCell ref="J115:L115"/>
    <mergeCell ref="J117:L117"/>
    <mergeCell ref="M118:T118"/>
    <mergeCell ref="M119:T119"/>
    <mergeCell ref="M121:T121"/>
    <mergeCell ref="D105:S105"/>
    <mergeCell ref="B113:I113"/>
    <mergeCell ref="B114:I114"/>
    <mergeCell ref="B115:I115"/>
    <mergeCell ref="B116:I116"/>
    <mergeCell ref="B117:I117"/>
    <mergeCell ref="M116:T116"/>
    <mergeCell ref="D100:T100"/>
    <mergeCell ref="D101:U101"/>
    <mergeCell ref="B100:C100"/>
    <mergeCell ref="J116:L116"/>
    <mergeCell ref="M113:T113"/>
    <mergeCell ref="M117:T117"/>
    <mergeCell ref="B112:T112"/>
    <mergeCell ref="M114:T114"/>
    <mergeCell ref="M115:T115"/>
    <mergeCell ref="S61:U61"/>
    <mergeCell ref="S59:U59"/>
    <mergeCell ref="H54:H60"/>
    <mergeCell ref="B97:C97"/>
    <mergeCell ref="K90:L90"/>
    <mergeCell ref="B95:C95"/>
    <mergeCell ref="D98:U98"/>
    <mergeCell ref="M86:T86"/>
    <mergeCell ref="B103:C103"/>
    <mergeCell ref="J114:L114"/>
    <mergeCell ref="B105:C105"/>
    <mergeCell ref="A106:U106"/>
    <mergeCell ref="J113:L113"/>
    <mergeCell ref="D103:U103"/>
    <mergeCell ref="B89:J89"/>
    <mergeCell ref="B90:J90"/>
    <mergeCell ref="B99:C99"/>
    <mergeCell ref="D99:S99"/>
    <mergeCell ref="P30:P32"/>
    <mergeCell ref="S54:U55"/>
    <mergeCell ref="P38:P39"/>
    <mergeCell ref="S32:U32"/>
    <mergeCell ref="K27:K33"/>
    <mergeCell ref="J30:J32"/>
    <mergeCell ref="S31:U31"/>
    <mergeCell ref="N57:N60"/>
    <mergeCell ref="Q57:Q60"/>
    <mergeCell ref="J45:J46"/>
    <mergeCell ref="A108:U108"/>
    <mergeCell ref="B109:C109"/>
    <mergeCell ref="D109:S109"/>
    <mergeCell ref="B110:C110"/>
    <mergeCell ref="D110:S110"/>
    <mergeCell ref="B111:C111"/>
    <mergeCell ref="D111:S111"/>
    <mergeCell ref="B101:C101"/>
    <mergeCell ref="D94:T94"/>
    <mergeCell ref="B98:C98"/>
    <mergeCell ref="D11:D12"/>
    <mergeCell ref="T1:U1"/>
    <mergeCell ref="K3:K7"/>
    <mergeCell ref="B93:C93"/>
    <mergeCell ref="A96:U96"/>
    <mergeCell ref="K81:U81"/>
    <mergeCell ref="K82:L82"/>
    <mergeCell ref="K83:L83"/>
    <mergeCell ref="A91:U91"/>
    <mergeCell ref="M89:T89"/>
    <mergeCell ref="B92:C92"/>
    <mergeCell ref="D92:S92"/>
    <mergeCell ref="B88:J88"/>
    <mergeCell ref="K88:L88"/>
    <mergeCell ref="K89:L89"/>
    <mergeCell ref="M82:T82"/>
    <mergeCell ref="M90:U90"/>
    <mergeCell ref="B94:C94"/>
    <mergeCell ref="K85:L85"/>
    <mergeCell ref="K86:L86"/>
    <mergeCell ref="A81:J81"/>
    <mergeCell ref="K84:L84"/>
    <mergeCell ref="K87:L87"/>
    <mergeCell ref="D93:S93"/>
    <mergeCell ref="H10:H14"/>
    <mergeCell ref="J37:J38"/>
    <mergeCell ref="M37:M38"/>
    <mergeCell ref="A1:C1"/>
    <mergeCell ref="S34:U34"/>
    <mergeCell ref="K45:K50"/>
    <mergeCell ref="J39:J41"/>
    <mergeCell ref="M39:M41"/>
    <mergeCell ref="H3:H7"/>
    <mergeCell ref="B3:B15"/>
    <mergeCell ref="C3:C8"/>
    <mergeCell ref="G4:G5"/>
    <mergeCell ref="C10:C15"/>
    <mergeCell ref="G11:G12"/>
    <mergeCell ref="E10:E14"/>
    <mergeCell ref="E3:E7"/>
    <mergeCell ref="N18:N24"/>
    <mergeCell ref="Q18:Q24"/>
    <mergeCell ref="D4:D5"/>
    <mergeCell ref="D7:D8"/>
    <mergeCell ref="G7:G8"/>
    <mergeCell ref="H37:H42"/>
    <mergeCell ref="K10:K14"/>
    <mergeCell ref="D21:D23"/>
    <mergeCell ref="S23:U23"/>
    <mergeCell ref="G21:G22"/>
    <mergeCell ref="H20:H24"/>
    <mergeCell ref="K18:K24"/>
    <mergeCell ref="P40:P42"/>
    <mergeCell ref="D104:T104"/>
    <mergeCell ref="P21:P22"/>
    <mergeCell ref="E27:E33"/>
    <mergeCell ref="E18:E24"/>
    <mergeCell ref="P47:P49"/>
    <mergeCell ref="P67:P68"/>
    <mergeCell ref="D97:S97"/>
    <mergeCell ref="Q45:Q50"/>
    <mergeCell ref="Q38:Q42"/>
    <mergeCell ref="B87:J87"/>
    <mergeCell ref="D30:D32"/>
    <mergeCell ref="G30:G31"/>
    <mergeCell ref="M67:M68"/>
    <mergeCell ref="J47:J48"/>
    <mergeCell ref="G57:G59"/>
    <mergeCell ref="J57:J58"/>
    <mergeCell ref="E55:E60"/>
    <mergeCell ref="G37:G38"/>
    <mergeCell ref="D74:D75"/>
    <mergeCell ref="B54:B70"/>
    <mergeCell ref="C54:C61"/>
    <mergeCell ref="M30:M32"/>
    <mergeCell ref="M21:M23"/>
    <mergeCell ref="J21:J22"/>
    <mergeCell ref="N37:N42"/>
    <mergeCell ref="K54:K60"/>
    <mergeCell ref="E45:E50"/>
    <mergeCell ref="G64:G66"/>
    <mergeCell ref="E64:E69"/>
    <mergeCell ref="G47:G49"/>
    <mergeCell ref="E37:E42"/>
    <mergeCell ref="G67:G68"/>
    <mergeCell ref="H45:H50"/>
    <mergeCell ref="M47:M49"/>
    <mergeCell ref="N45:N50"/>
    <mergeCell ref="B18:B34"/>
    <mergeCell ref="C18:C25"/>
    <mergeCell ref="C27:C34"/>
    <mergeCell ref="B37:B51"/>
    <mergeCell ref="C37:C43"/>
    <mergeCell ref="C45:C51"/>
    <mergeCell ref="G45:G46"/>
    <mergeCell ref="C63:C69"/>
  </mergeCells>
  <phoneticPr fontId="2" type="noConversion"/>
  <hyperlinks>
    <hyperlink ref="D94:S94" r:id="rId1" display="A current list of ethics classes is at:  http://www.catalog.gatech.edu/students/ugrad/core/ethics.php" xr:uid="{00000000-0004-0000-0000-000000000000}"/>
    <hyperlink ref="D97:S97" r:id="rId2" location="sp" display="A list of ME Electives offered each semester is at http://www.me.gatech.edu/undergraduate/registration#sp " xr:uid="{00000000-0004-0000-0000-000001000000}"/>
    <hyperlink ref="D92:S92" r:id="rId3" display="Humanities Electives: A current list is at http://catalog.gatech.edu/academics/undergraduate/core-curriculum/core-area-c/ " xr:uid="{00000000-0004-0000-0000-000002000000}"/>
    <hyperlink ref="D93:S93" r:id="rId4" display="Social Science Electives: A current list is at http://www.catalog.gatech.edu/students/ugrad/core/coree.php " xr:uid="{00000000-0004-0000-0000-000003000000}"/>
    <hyperlink ref="D94:T94" r:id="rId5" display="Ethics Overlay: Must be a 3 hour class and is selected from http://www.catalog.gatech.edu/students/ugrad/core/ethics.php" xr:uid="{00000000-0004-0000-0000-000004000000}"/>
    <hyperlink ref="G78" r:id="rId6" xr:uid="{00000000-0004-0000-0000-000005000000}"/>
    <hyperlink ref="B107:U107" r:id="rId7" display="Concentrations:   Automation &amp; Robotics, Automotive Engineering, Design, Manufacturing, Mechanics of Materials, Micro- &amp; Nano-Engineering, Nuclear Energy, Thermal Fluid &amp; Energy System     See: www.me.gatech.edu/undergraduate/ug-curr/concentrations" xr:uid="{78315561-E471-4581-AD6C-98CF6AC1D49E}"/>
  </hyperlinks>
  <printOptions horizontalCentered="1" verticalCentered="1"/>
  <pageMargins left="0.25" right="0.25" top="0.2" bottom="0.2" header="0.5" footer="0.5"/>
  <pageSetup fitToHeight="2" orientation="portrait" r:id="rId8"/>
  <headerFooter alignWithMargins="0"/>
  <rowBreaks count="1" manualBreakCount="1">
    <brk id="79" max="16383" man="1"/>
  </rowBreaks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A1CBD-795F-4BC0-AE3C-2EEF5DEFA82C}">
  <sheetPr codeName="Sheet2"/>
  <dimension ref="A1:BE55"/>
  <sheetViews>
    <sheetView topLeftCell="J7" zoomScaleNormal="100" workbookViewId="0">
      <selection activeCell="AB28" sqref="AB28"/>
    </sheetView>
  </sheetViews>
  <sheetFormatPr defaultRowHeight="11.4" x14ac:dyDescent="0.2"/>
  <cols>
    <col min="1" max="1" width="3.88671875" style="227" customWidth="1"/>
    <col min="2" max="3" width="8.77734375" style="227" customWidth="1"/>
    <col min="4" max="4" width="9.77734375" style="227" customWidth="1"/>
    <col min="5" max="7" width="8.77734375" style="227" customWidth="1"/>
    <col min="8" max="11" width="8.88671875" style="227"/>
    <col min="12" max="12" width="7.88671875" style="227" customWidth="1"/>
    <col min="13" max="13" width="9.77734375" style="227" customWidth="1"/>
    <col min="14" max="20" width="9" style="227" customWidth="1"/>
    <col min="21" max="21" width="6.6640625" style="227" customWidth="1"/>
    <col min="22" max="22" width="9.44140625" style="227" bestFit="1" customWidth="1"/>
    <col min="23" max="24" width="4" style="227" customWidth="1"/>
    <col min="25" max="25" width="4.33203125" style="227" customWidth="1"/>
    <col min="26" max="27" width="4" style="227" customWidth="1"/>
    <col min="28" max="28" width="8.88671875" style="227"/>
    <col min="29" max="29" width="11.33203125" style="227" customWidth="1"/>
    <col min="30" max="31" width="5.44140625" style="227" customWidth="1"/>
    <col min="32" max="36" width="8.88671875" style="227"/>
    <col min="37" max="37" width="7.44140625" style="227" customWidth="1"/>
    <col min="38" max="39" width="8.77734375" style="227" customWidth="1"/>
    <col min="40" max="40" width="9.77734375" style="227" customWidth="1"/>
    <col min="41" max="43" width="8.77734375" style="227" customWidth="1"/>
    <col min="44" max="47" width="8.88671875" style="227"/>
    <col min="48" max="54" width="8.77734375" style="227" customWidth="1"/>
    <col min="55" max="16384" width="8.88671875" style="227"/>
  </cols>
  <sheetData>
    <row r="1" spans="1:57" ht="13.2" customHeight="1" x14ac:dyDescent="0.2">
      <c r="C1" s="228"/>
      <c r="J1" s="282" t="s">
        <v>229</v>
      </c>
      <c r="U1" s="283" t="s">
        <v>230</v>
      </c>
      <c r="V1" s="227" t="s">
        <v>198</v>
      </c>
      <c r="W1" s="227" t="s">
        <v>196</v>
      </c>
      <c r="X1" s="227" t="s">
        <v>195</v>
      </c>
      <c r="Y1" s="227" t="s">
        <v>197</v>
      </c>
      <c r="Z1" s="227" t="s">
        <v>216</v>
      </c>
      <c r="AA1" s="227" t="s">
        <v>217</v>
      </c>
      <c r="AC1" s="227" t="s">
        <v>206</v>
      </c>
      <c r="AD1" s="227" t="s">
        <v>204</v>
      </c>
      <c r="AE1" s="227" t="s">
        <v>197</v>
      </c>
      <c r="AM1" s="228"/>
      <c r="AT1" s="283" t="s">
        <v>231</v>
      </c>
      <c r="AX1" s="228"/>
      <c r="BE1" s="283" t="s">
        <v>238</v>
      </c>
    </row>
    <row r="2" spans="1:57" ht="12" x14ac:dyDescent="0.25">
      <c r="A2" s="240" t="s">
        <v>190</v>
      </c>
      <c r="B2" s="241"/>
      <c r="C2" s="241"/>
      <c r="D2" s="241"/>
      <c r="E2" s="241"/>
      <c r="F2" s="241"/>
      <c r="G2" s="241"/>
      <c r="H2" s="241"/>
      <c r="I2" s="241"/>
      <c r="J2" s="241"/>
      <c r="L2" s="259" t="s">
        <v>221</v>
      </c>
      <c r="M2" s="261"/>
      <c r="N2" s="261"/>
      <c r="O2" s="261"/>
      <c r="P2" s="261"/>
      <c r="Q2" s="261"/>
      <c r="R2" s="261"/>
      <c r="S2" s="261"/>
      <c r="T2" s="261"/>
      <c r="U2" s="261"/>
      <c r="V2" s="244" t="s">
        <v>111</v>
      </c>
      <c r="W2" s="227">
        <v>0</v>
      </c>
      <c r="X2" s="227">
        <v>0</v>
      </c>
      <c r="Y2" s="227">
        <v>2</v>
      </c>
      <c r="Z2" s="227">
        <v>0</v>
      </c>
      <c r="AA2" s="227">
        <v>0</v>
      </c>
      <c r="AC2" s="227" t="s">
        <v>207</v>
      </c>
      <c r="AD2" s="227">
        <v>2</v>
      </c>
      <c r="AE2" s="227">
        <v>46</v>
      </c>
      <c r="AK2" s="230" t="s">
        <v>175</v>
      </c>
      <c r="AL2" s="231"/>
      <c r="AM2" s="243"/>
      <c r="AN2" s="229"/>
      <c r="AO2" s="288"/>
      <c r="AP2" s="271"/>
      <c r="AQ2" s="271"/>
      <c r="AR2" s="271"/>
      <c r="AS2" s="271"/>
      <c r="AT2" s="271"/>
      <c r="AV2" s="259" t="s">
        <v>221</v>
      </c>
      <c r="AW2" s="261"/>
      <c r="AX2" s="261"/>
      <c r="AY2" s="261"/>
      <c r="AZ2" s="261"/>
      <c r="BA2" s="261"/>
      <c r="BB2" s="261"/>
      <c r="BC2" s="261"/>
      <c r="BD2" s="261"/>
      <c r="BE2" s="261"/>
    </row>
    <row r="3" spans="1:57" ht="12" x14ac:dyDescent="0.25">
      <c r="A3" s="242" t="s">
        <v>33</v>
      </c>
      <c r="B3" s="241" t="s">
        <v>182</v>
      </c>
      <c r="C3" s="241"/>
      <c r="D3" s="241"/>
      <c r="E3" s="241"/>
      <c r="F3" s="241"/>
      <c r="G3" s="241"/>
      <c r="H3" s="241"/>
      <c r="I3" s="241"/>
      <c r="J3" s="241"/>
      <c r="L3" s="260" t="s">
        <v>269</v>
      </c>
      <c r="M3" s="261"/>
      <c r="N3" s="261"/>
      <c r="O3" s="261"/>
      <c r="P3" s="261"/>
      <c r="Q3" s="261"/>
      <c r="R3" s="261"/>
      <c r="S3" s="261"/>
      <c r="T3" s="261"/>
      <c r="U3" s="261"/>
      <c r="V3" s="244" t="s">
        <v>114</v>
      </c>
      <c r="W3" s="227">
        <v>1</v>
      </c>
      <c r="X3" s="227">
        <v>0</v>
      </c>
      <c r="Y3" s="227">
        <v>7</v>
      </c>
      <c r="Z3" s="227">
        <v>1</v>
      </c>
      <c r="AA3" s="227">
        <v>0</v>
      </c>
      <c r="AC3" s="227" t="s">
        <v>165</v>
      </c>
      <c r="AD3" s="227">
        <v>3</v>
      </c>
      <c r="AE3" s="227">
        <v>25</v>
      </c>
      <c r="AK3" s="239" t="s">
        <v>33</v>
      </c>
      <c r="AL3" s="231" t="s">
        <v>186</v>
      </c>
      <c r="AM3" s="231"/>
      <c r="AO3" s="286" t="s">
        <v>255</v>
      </c>
      <c r="AP3" s="287"/>
      <c r="AQ3" s="287"/>
      <c r="AR3" s="287"/>
      <c r="AS3" s="287"/>
      <c r="AT3" s="287"/>
      <c r="AV3" s="284" t="s">
        <v>33</v>
      </c>
      <c r="AW3" s="260" t="s">
        <v>260</v>
      </c>
      <c r="AX3" s="261"/>
      <c r="AY3" s="261"/>
      <c r="AZ3" s="261"/>
      <c r="BA3" s="261"/>
      <c r="BB3" s="261"/>
      <c r="BC3" s="261"/>
      <c r="BD3" s="261"/>
      <c r="BE3" s="261"/>
    </row>
    <row r="4" spans="1:57" ht="12" x14ac:dyDescent="0.25">
      <c r="A4" s="242" t="s">
        <v>34</v>
      </c>
      <c r="B4" s="241" t="s">
        <v>208</v>
      </c>
      <c r="C4" s="241"/>
      <c r="D4" s="241"/>
      <c r="E4" s="241"/>
      <c r="F4" s="241"/>
      <c r="G4" s="241"/>
      <c r="H4" s="241"/>
      <c r="I4" s="241"/>
      <c r="J4" s="241"/>
      <c r="L4" s="261" t="s">
        <v>270</v>
      </c>
      <c r="M4" s="261"/>
      <c r="N4" s="261"/>
      <c r="O4" s="261"/>
      <c r="P4" s="261"/>
      <c r="Q4" s="261"/>
      <c r="R4" s="261"/>
      <c r="S4" s="261"/>
      <c r="T4" s="261"/>
      <c r="U4" s="261"/>
      <c r="V4" s="244" t="s">
        <v>8</v>
      </c>
      <c r="W4" s="227">
        <v>1</v>
      </c>
      <c r="X4" s="227">
        <v>1</v>
      </c>
      <c r="Y4" s="227">
        <v>6</v>
      </c>
      <c r="Z4" s="227">
        <v>1</v>
      </c>
      <c r="AA4" s="227">
        <v>1</v>
      </c>
      <c r="AC4" s="227" t="s">
        <v>136</v>
      </c>
      <c r="AD4" s="227">
        <v>3</v>
      </c>
      <c r="AE4" s="227">
        <v>4</v>
      </c>
      <c r="AK4" s="239" t="s">
        <v>34</v>
      </c>
      <c r="AL4" s="231" t="s">
        <v>187</v>
      </c>
      <c r="AM4" s="231"/>
      <c r="AO4" s="291" t="s">
        <v>33</v>
      </c>
      <c r="AP4" s="287" t="s">
        <v>256</v>
      </c>
      <c r="AQ4" s="287"/>
      <c r="AR4" s="287"/>
      <c r="AS4" s="287"/>
      <c r="AT4" s="287"/>
      <c r="AV4" s="285"/>
      <c r="AW4" s="261" t="s">
        <v>261</v>
      </c>
      <c r="AX4" s="261"/>
      <c r="AY4" s="261"/>
      <c r="AZ4" s="261"/>
      <c r="BA4" s="261"/>
      <c r="BB4" s="261"/>
      <c r="BC4" s="261"/>
      <c r="BD4" s="261"/>
      <c r="BE4" s="261"/>
    </row>
    <row r="5" spans="1:57" ht="12" x14ac:dyDescent="0.25">
      <c r="A5" s="242" t="s">
        <v>35</v>
      </c>
      <c r="B5" s="241" t="s">
        <v>189</v>
      </c>
      <c r="C5" s="241"/>
      <c r="D5" s="241"/>
      <c r="E5" s="241"/>
      <c r="F5" s="241"/>
      <c r="G5" s="241"/>
      <c r="H5" s="241"/>
      <c r="I5" s="241"/>
      <c r="J5" s="241"/>
      <c r="V5" s="244" t="s">
        <v>147</v>
      </c>
      <c r="W5" s="227">
        <v>2</v>
      </c>
      <c r="X5" s="227">
        <v>0</v>
      </c>
      <c r="Y5" s="227">
        <v>3</v>
      </c>
      <c r="Z5" s="227">
        <v>2</v>
      </c>
      <c r="AA5" s="227">
        <v>0</v>
      </c>
      <c r="AC5" s="227" t="s">
        <v>95</v>
      </c>
      <c r="AD5" s="227">
        <v>3</v>
      </c>
      <c r="AE5" s="227">
        <v>20</v>
      </c>
      <c r="AK5" s="239" t="s">
        <v>35</v>
      </c>
      <c r="AL5" s="231" t="s">
        <v>176</v>
      </c>
      <c r="AM5" s="231"/>
      <c r="AO5" s="292"/>
      <c r="AP5" s="287" t="s">
        <v>257</v>
      </c>
      <c r="AQ5" s="287"/>
      <c r="AR5" s="287"/>
      <c r="AS5" s="287"/>
      <c r="AT5" s="287"/>
      <c r="AV5" s="284" t="s">
        <v>34</v>
      </c>
      <c r="AW5" s="261" t="s">
        <v>246</v>
      </c>
      <c r="AX5" s="261"/>
      <c r="AY5" s="261"/>
      <c r="AZ5" s="261"/>
      <c r="BA5" s="261"/>
      <c r="BB5" s="261"/>
      <c r="BC5" s="261"/>
      <c r="BD5" s="261"/>
      <c r="BE5" s="261"/>
    </row>
    <row r="6" spans="1:57" ht="12" x14ac:dyDescent="0.25">
      <c r="A6" s="242" t="s">
        <v>36</v>
      </c>
      <c r="B6" s="241" t="s">
        <v>228</v>
      </c>
      <c r="C6" s="241"/>
      <c r="D6" s="241"/>
      <c r="E6" s="241"/>
      <c r="F6" s="241"/>
      <c r="G6" s="241"/>
      <c r="H6" s="241"/>
      <c r="I6" s="241"/>
      <c r="J6" s="241"/>
      <c r="L6" s="230" t="s">
        <v>203</v>
      </c>
      <c r="M6" s="231"/>
      <c r="N6" s="231"/>
      <c r="O6" s="231"/>
      <c r="P6" s="231"/>
      <c r="Q6" s="231"/>
      <c r="R6" s="231"/>
      <c r="S6" s="231"/>
      <c r="T6" s="231"/>
      <c r="U6" s="231"/>
      <c r="V6" s="244" t="s">
        <v>15</v>
      </c>
      <c r="W6" s="227">
        <v>2</v>
      </c>
      <c r="X6" s="227">
        <v>1</v>
      </c>
      <c r="Y6" s="227">
        <v>15</v>
      </c>
      <c r="Z6" s="227">
        <v>2</v>
      </c>
      <c r="AA6" s="227">
        <v>1</v>
      </c>
      <c r="AC6" s="227" t="s">
        <v>95</v>
      </c>
      <c r="AD6" s="227">
        <v>3</v>
      </c>
      <c r="AE6" s="227">
        <v>32</v>
      </c>
      <c r="AK6" s="239" t="s">
        <v>36</v>
      </c>
      <c r="AL6" s="231" t="s">
        <v>185</v>
      </c>
      <c r="AM6" s="231"/>
      <c r="AO6" s="292"/>
      <c r="AP6" s="287" t="s">
        <v>247</v>
      </c>
      <c r="AQ6" s="287"/>
      <c r="AR6" s="287"/>
      <c r="AS6" s="287"/>
      <c r="AT6" s="287"/>
    </row>
    <row r="7" spans="1:57" ht="12" x14ac:dyDescent="0.25">
      <c r="L7" s="231" t="s">
        <v>222</v>
      </c>
      <c r="M7" s="231"/>
      <c r="N7" s="231"/>
      <c r="O7" s="231"/>
      <c r="P7" s="231"/>
      <c r="Q7" s="231"/>
      <c r="R7" s="231"/>
      <c r="S7" s="231"/>
      <c r="T7" s="231"/>
      <c r="U7" s="231"/>
      <c r="V7" s="244" t="s">
        <v>116</v>
      </c>
      <c r="W7" s="227">
        <v>3</v>
      </c>
      <c r="X7" s="227">
        <v>0</v>
      </c>
      <c r="Y7" s="227">
        <v>12</v>
      </c>
      <c r="Z7" s="227">
        <v>3</v>
      </c>
      <c r="AA7" s="227">
        <v>0</v>
      </c>
      <c r="AC7" s="227" t="s">
        <v>79</v>
      </c>
      <c r="AD7" s="227">
        <v>3</v>
      </c>
      <c r="AE7" s="227">
        <v>26</v>
      </c>
      <c r="AK7" s="239" t="s">
        <v>178</v>
      </c>
      <c r="AL7" s="231" t="s">
        <v>184</v>
      </c>
      <c r="AM7" s="231"/>
      <c r="AO7" s="239" t="s">
        <v>34</v>
      </c>
      <c r="AP7" s="231" t="s">
        <v>258</v>
      </c>
      <c r="AQ7" s="231"/>
      <c r="AR7" s="231"/>
      <c r="AS7" s="231"/>
      <c r="AT7" s="231"/>
      <c r="AV7" s="230" t="s">
        <v>239</v>
      </c>
      <c r="AW7" s="231"/>
      <c r="AX7" s="231"/>
      <c r="AY7" s="231"/>
      <c r="AZ7" s="231"/>
      <c r="BA7" s="231"/>
      <c r="BB7" s="231"/>
      <c r="BC7" s="231"/>
      <c r="BD7" s="231"/>
      <c r="BE7" s="231"/>
    </row>
    <row r="8" spans="1:57" x14ac:dyDescent="0.2">
      <c r="V8" s="244" t="s">
        <v>118</v>
      </c>
      <c r="W8" s="227">
        <v>3</v>
      </c>
      <c r="X8" s="227">
        <v>1</v>
      </c>
      <c r="Y8" s="227">
        <v>17</v>
      </c>
      <c r="Z8" s="227">
        <v>3</v>
      </c>
      <c r="AA8" s="227">
        <v>1</v>
      </c>
      <c r="AC8" s="227" t="s">
        <v>79</v>
      </c>
      <c r="AD8" s="227">
        <v>3</v>
      </c>
      <c r="AE8" s="227">
        <v>40</v>
      </c>
      <c r="AK8" s="239" t="s">
        <v>212</v>
      </c>
      <c r="AL8" s="231" t="s">
        <v>213</v>
      </c>
      <c r="AM8" s="231"/>
      <c r="AO8" s="231"/>
      <c r="AP8" s="293" t="s">
        <v>259</v>
      </c>
      <c r="AQ8" s="293"/>
      <c r="AR8" s="293"/>
      <c r="AS8" s="293"/>
      <c r="AT8" s="293"/>
      <c r="AV8" s="239" t="s">
        <v>33</v>
      </c>
      <c r="AW8" s="231" t="s">
        <v>243</v>
      </c>
      <c r="AX8" s="231"/>
      <c r="AY8" s="231"/>
      <c r="AZ8" s="231"/>
      <c r="BA8" s="231"/>
      <c r="BB8" s="231"/>
      <c r="BC8" s="231"/>
      <c r="BD8" s="231"/>
      <c r="BE8" s="231"/>
    </row>
    <row r="9" spans="1:57" ht="12" x14ac:dyDescent="0.25">
      <c r="A9" s="230" t="s">
        <v>175</v>
      </c>
      <c r="B9" s="231"/>
      <c r="C9" s="243"/>
      <c r="D9" s="229"/>
      <c r="E9" s="286" t="s">
        <v>255</v>
      </c>
      <c r="F9" s="287"/>
      <c r="G9" s="287"/>
      <c r="H9" s="287"/>
      <c r="I9" s="287"/>
      <c r="J9" s="287"/>
      <c r="L9" s="240" t="s">
        <v>200</v>
      </c>
      <c r="M9" s="241"/>
      <c r="N9" s="241"/>
      <c r="O9" s="241"/>
      <c r="P9" s="241"/>
      <c r="Q9" s="241"/>
      <c r="R9" s="241"/>
      <c r="S9" s="241"/>
      <c r="T9" s="241"/>
      <c r="U9" s="241"/>
      <c r="V9" s="244" t="s">
        <v>13</v>
      </c>
      <c r="W9" s="227">
        <v>3</v>
      </c>
      <c r="X9" s="227">
        <v>2</v>
      </c>
      <c r="Y9" s="227">
        <v>11</v>
      </c>
      <c r="Z9" s="227">
        <v>4</v>
      </c>
      <c r="AA9" s="227">
        <v>0</v>
      </c>
      <c r="AC9" s="227" t="s">
        <v>236</v>
      </c>
      <c r="AD9" s="227">
        <v>3</v>
      </c>
      <c r="AE9" s="227">
        <v>36</v>
      </c>
      <c r="AV9" s="239" t="s">
        <v>34</v>
      </c>
      <c r="AW9" s="231" t="s">
        <v>263</v>
      </c>
      <c r="AX9" s="231"/>
      <c r="AY9" s="231"/>
      <c r="AZ9" s="231"/>
      <c r="BA9" s="231"/>
      <c r="BB9" s="231"/>
      <c r="BC9" s="231"/>
      <c r="BD9" s="231"/>
      <c r="BE9" s="231"/>
    </row>
    <row r="10" spans="1:57" ht="12" x14ac:dyDescent="0.25">
      <c r="A10" s="239" t="s">
        <v>33</v>
      </c>
      <c r="B10" s="231" t="s">
        <v>186</v>
      </c>
      <c r="C10" s="231"/>
      <c r="E10" s="291" t="s">
        <v>33</v>
      </c>
      <c r="F10" s="287" t="s">
        <v>256</v>
      </c>
      <c r="G10" s="287"/>
      <c r="H10" s="287"/>
      <c r="I10" s="287"/>
      <c r="J10" s="287"/>
      <c r="L10" s="242" t="s">
        <v>33</v>
      </c>
      <c r="M10" s="241" t="s">
        <v>201</v>
      </c>
      <c r="N10" s="241"/>
      <c r="O10" s="241"/>
      <c r="P10" s="241"/>
      <c r="Q10" s="241"/>
      <c r="R10" s="241"/>
      <c r="S10" s="241"/>
      <c r="T10" s="241"/>
      <c r="U10" s="241"/>
      <c r="V10" s="244" t="s">
        <v>1</v>
      </c>
      <c r="W10" s="227">
        <v>3</v>
      </c>
      <c r="X10" s="227">
        <v>3</v>
      </c>
      <c r="Y10" s="227">
        <v>1</v>
      </c>
      <c r="Z10" s="227">
        <v>4</v>
      </c>
      <c r="AA10" s="227">
        <v>1</v>
      </c>
      <c r="AC10" s="227" t="s">
        <v>236</v>
      </c>
      <c r="AD10" s="227">
        <v>3</v>
      </c>
      <c r="AE10" s="227">
        <v>37</v>
      </c>
      <c r="AK10" s="237" t="s">
        <v>188</v>
      </c>
      <c r="AL10" s="236"/>
      <c r="AM10" s="236"/>
      <c r="AN10" s="236"/>
      <c r="AO10" s="236"/>
      <c r="AP10" s="236"/>
      <c r="AQ10" s="236"/>
      <c r="AR10" s="236"/>
      <c r="AS10" s="236"/>
      <c r="AT10" s="236"/>
    </row>
    <row r="11" spans="1:57" ht="12" x14ac:dyDescent="0.25">
      <c r="A11" s="239" t="s">
        <v>34</v>
      </c>
      <c r="B11" s="231" t="s">
        <v>187</v>
      </c>
      <c r="C11" s="231"/>
      <c r="E11" s="292"/>
      <c r="F11" s="287" t="s">
        <v>257</v>
      </c>
      <c r="G11" s="287"/>
      <c r="H11" s="287"/>
      <c r="I11" s="287"/>
      <c r="J11" s="287"/>
      <c r="L11" s="241"/>
      <c r="M11" s="246" t="s">
        <v>234</v>
      </c>
      <c r="N11" s="241"/>
      <c r="O11" s="241"/>
      <c r="P11" s="241"/>
      <c r="Q11" s="241"/>
      <c r="R11" s="241"/>
      <c r="S11" s="241"/>
      <c r="T11" s="241"/>
      <c r="U11" s="241"/>
      <c r="V11" s="244" t="s">
        <v>41</v>
      </c>
      <c r="W11" s="227">
        <v>3</v>
      </c>
      <c r="X11" s="227">
        <v>4</v>
      </c>
      <c r="Y11" s="227">
        <v>19</v>
      </c>
      <c r="Z11" s="227">
        <v>3</v>
      </c>
      <c r="AA11" s="227">
        <v>2</v>
      </c>
      <c r="AC11" s="227" t="s">
        <v>237</v>
      </c>
      <c r="AD11" s="227">
        <v>3</v>
      </c>
      <c r="AE11" s="227">
        <v>41</v>
      </c>
      <c r="AK11" s="238" t="s">
        <v>33</v>
      </c>
      <c r="AL11" s="236" t="s">
        <v>248</v>
      </c>
      <c r="AM11" s="236"/>
      <c r="AN11" s="236"/>
      <c r="AO11" s="236"/>
      <c r="AP11" s="236"/>
      <c r="AQ11" s="236"/>
      <c r="AR11" s="236"/>
      <c r="AS11" s="236"/>
      <c r="AT11" s="236"/>
      <c r="AV11" s="240" t="s">
        <v>200</v>
      </c>
      <c r="AW11" s="241"/>
      <c r="AX11" s="241"/>
      <c r="AY11" s="241"/>
      <c r="AZ11" s="241"/>
      <c r="BA11" s="241"/>
      <c r="BB11" s="241"/>
      <c r="BC11" s="241"/>
      <c r="BD11" s="241"/>
      <c r="BE11" s="241"/>
    </row>
    <row r="12" spans="1:57" ht="12" x14ac:dyDescent="0.25">
      <c r="A12" s="239" t="s">
        <v>35</v>
      </c>
      <c r="B12" s="231" t="s">
        <v>176</v>
      </c>
      <c r="C12" s="231"/>
      <c r="E12" s="292"/>
      <c r="F12" s="287" t="s">
        <v>247</v>
      </c>
      <c r="G12" s="287"/>
      <c r="H12" s="287"/>
      <c r="I12" s="287"/>
      <c r="J12" s="287"/>
      <c r="L12" s="241"/>
      <c r="M12" s="246" t="s">
        <v>233</v>
      </c>
      <c r="N12" s="241"/>
      <c r="O12" s="241"/>
      <c r="P12" s="241"/>
      <c r="Q12" s="241"/>
      <c r="R12" s="241"/>
      <c r="S12" s="241"/>
      <c r="T12" s="241"/>
      <c r="U12" s="241"/>
      <c r="V12" s="244" t="s">
        <v>9</v>
      </c>
      <c r="W12" s="227">
        <v>3</v>
      </c>
      <c r="X12" s="227">
        <v>5</v>
      </c>
      <c r="Y12" s="227">
        <v>8</v>
      </c>
      <c r="Z12" s="227">
        <v>4</v>
      </c>
      <c r="AA12" s="227">
        <v>2</v>
      </c>
      <c r="AC12" s="227" t="s">
        <v>237</v>
      </c>
      <c r="AD12" s="227">
        <v>3</v>
      </c>
      <c r="AE12" s="227">
        <v>42</v>
      </c>
      <c r="AK12" s="238"/>
      <c r="AL12" s="236" t="s">
        <v>251</v>
      </c>
      <c r="AM12" s="236"/>
      <c r="AN12" s="236"/>
      <c r="AO12" s="236"/>
      <c r="AP12" s="236"/>
      <c r="AQ12" s="236"/>
      <c r="AR12" s="236"/>
      <c r="AS12" s="236"/>
      <c r="AT12" s="236"/>
      <c r="AV12" s="242" t="s">
        <v>33</v>
      </c>
      <c r="AW12" s="241" t="s">
        <v>244</v>
      </c>
      <c r="AX12" s="241"/>
      <c r="AY12" s="241"/>
      <c r="AZ12" s="241"/>
      <c r="BA12" s="241"/>
      <c r="BB12" s="241"/>
      <c r="BC12" s="241"/>
      <c r="BD12" s="241"/>
      <c r="BE12" s="241"/>
    </row>
    <row r="13" spans="1:57" x14ac:dyDescent="0.2">
      <c r="A13" s="239" t="s">
        <v>36</v>
      </c>
      <c r="B13" s="231" t="s">
        <v>185</v>
      </c>
      <c r="C13" s="231"/>
      <c r="E13" s="239" t="s">
        <v>34</v>
      </c>
      <c r="F13" s="231" t="s">
        <v>258</v>
      </c>
      <c r="G13" s="231"/>
      <c r="H13" s="231"/>
      <c r="I13" s="231"/>
      <c r="J13" s="231"/>
      <c r="L13" s="241"/>
      <c r="M13" s="246" t="s">
        <v>202</v>
      </c>
      <c r="N13" s="241"/>
      <c r="O13" s="241"/>
      <c r="P13" s="241"/>
      <c r="Q13" s="241"/>
      <c r="R13" s="241"/>
      <c r="S13" s="241"/>
      <c r="T13" s="241"/>
      <c r="U13" s="241"/>
      <c r="V13" s="244" t="s">
        <v>166</v>
      </c>
      <c r="W13" s="227">
        <v>3</v>
      </c>
      <c r="X13" s="227">
        <v>6</v>
      </c>
      <c r="Y13" s="227">
        <v>9</v>
      </c>
      <c r="Z13" s="227">
        <v>4</v>
      </c>
      <c r="AA13" s="227">
        <v>5</v>
      </c>
      <c r="AC13" s="227" t="s">
        <v>237</v>
      </c>
      <c r="AD13" s="227">
        <v>3</v>
      </c>
      <c r="AE13" s="227">
        <v>43</v>
      </c>
      <c r="AK13" s="238" t="s">
        <v>34</v>
      </c>
      <c r="AL13" s="236" t="s">
        <v>183</v>
      </c>
      <c r="AM13" s="236"/>
      <c r="AN13" s="236"/>
      <c r="AO13" s="236"/>
      <c r="AP13" s="236"/>
      <c r="AQ13" s="236"/>
      <c r="AR13" s="236"/>
      <c r="AS13" s="236"/>
      <c r="AT13" s="236"/>
      <c r="AV13" s="241"/>
      <c r="AW13" s="241" t="s">
        <v>245</v>
      </c>
      <c r="AX13" s="241"/>
      <c r="AY13" s="241"/>
      <c r="AZ13" s="241"/>
      <c r="BA13" s="241"/>
      <c r="BB13" s="241"/>
      <c r="BC13" s="241"/>
      <c r="BD13" s="241"/>
      <c r="BE13" s="241"/>
    </row>
    <row r="14" spans="1:57" x14ac:dyDescent="0.2">
      <c r="A14" s="239" t="s">
        <v>178</v>
      </c>
      <c r="B14" s="231" t="s">
        <v>184</v>
      </c>
      <c r="C14" s="231"/>
      <c r="E14" s="231"/>
      <c r="F14" s="293" t="s">
        <v>259</v>
      </c>
      <c r="G14" s="293"/>
      <c r="H14" s="293"/>
      <c r="I14" s="293"/>
      <c r="J14" s="293"/>
      <c r="L14" s="241"/>
      <c r="M14" s="246" t="s">
        <v>232</v>
      </c>
      <c r="N14" s="241"/>
      <c r="O14" s="241"/>
      <c r="P14" s="241"/>
      <c r="Q14" s="241"/>
      <c r="R14" s="241"/>
      <c r="S14" s="241"/>
      <c r="T14" s="241"/>
      <c r="U14" s="241"/>
      <c r="V14" s="244" t="s">
        <v>19</v>
      </c>
      <c r="W14" s="227">
        <v>4</v>
      </c>
      <c r="X14" s="227">
        <v>0</v>
      </c>
      <c r="Y14" s="227">
        <v>16</v>
      </c>
      <c r="Z14" s="227">
        <v>5</v>
      </c>
      <c r="AA14" s="227">
        <v>0</v>
      </c>
      <c r="AC14" s="227" t="s">
        <v>205</v>
      </c>
      <c r="AD14" s="227">
        <v>0</v>
      </c>
      <c r="AE14" s="227">
        <v>45</v>
      </c>
      <c r="AK14" s="238" t="s">
        <v>35</v>
      </c>
      <c r="AL14" s="236" t="s">
        <v>250</v>
      </c>
      <c r="AM14" s="236"/>
      <c r="AN14" s="236"/>
      <c r="AO14" s="236"/>
      <c r="AP14" s="236"/>
      <c r="AQ14" s="236"/>
      <c r="AR14" s="236"/>
      <c r="AS14" s="236"/>
      <c r="AT14" s="236"/>
      <c r="AV14" s="241"/>
      <c r="AW14" s="246" t="s">
        <v>234</v>
      </c>
      <c r="AX14" s="241"/>
      <c r="AY14" s="241"/>
      <c r="AZ14" s="241"/>
      <c r="BA14" s="241"/>
      <c r="BB14" s="241"/>
      <c r="BC14" s="241"/>
      <c r="BD14" s="241"/>
      <c r="BE14" s="241"/>
    </row>
    <row r="15" spans="1:57" x14ac:dyDescent="0.2">
      <c r="L15" s="242" t="s">
        <v>34</v>
      </c>
      <c r="M15" s="241" t="s">
        <v>235</v>
      </c>
      <c r="N15" s="241"/>
      <c r="O15" s="241"/>
      <c r="P15" s="241"/>
      <c r="Q15" s="241"/>
      <c r="R15" s="241"/>
      <c r="S15" s="241"/>
      <c r="T15" s="241"/>
      <c r="U15" s="241"/>
      <c r="V15" s="244" t="s">
        <v>23</v>
      </c>
      <c r="W15" s="227">
        <v>4</v>
      </c>
      <c r="X15" s="227">
        <v>1</v>
      </c>
      <c r="Y15" s="227">
        <v>22</v>
      </c>
      <c r="Z15" s="227">
        <v>5</v>
      </c>
      <c r="AA15" s="227">
        <v>1</v>
      </c>
      <c r="AK15" s="238" t="s">
        <v>36</v>
      </c>
      <c r="AL15" s="236" t="s">
        <v>249</v>
      </c>
      <c r="AM15" s="236"/>
      <c r="AN15" s="236"/>
      <c r="AO15" s="236"/>
      <c r="AP15" s="236"/>
      <c r="AQ15" s="236"/>
      <c r="AR15" s="236"/>
      <c r="AS15" s="236"/>
      <c r="AT15" s="236"/>
      <c r="AV15" s="241"/>
      <c r="AW15" s="246" t="s">
        <v>233</v>
      </c>
      <c r="AX15" s="241"/>
      <c r="AY15" s="241"/>
      <c r="AZ15" s="241"/>
      <c r="BA15" s="241"/>
      <c r="BB15" s="241"/>
      <c r="BC15" s="241"/>
      <c r="BD15" s="241"/>
      <c r="BE15" s="241"/>
    </row>
    <row r="16" spans="1:57" x14ac:dyDescent="0.2">
      <c r="L16" s="242" t="s">
        <v>35</v>
      </c>
      <c r="M16" s="241" t="s">
        <v>220</v>
      </c>
      <c r="N16" s="241"/>
      <c r="O16" s="241"/>
      <c r="P16" s="241"/>
      <c r="Q16" s="241"/>
      <c r="R16" s="241"/>
      <c r="S16" s="241"/>
      <c r="T16" s="241"/>
      <c r="U16" s="241"/>
      <c r="V16" s="244" t="s">
        <v>14</v>
      </c>
      <c r="W16" s="227">
        <v>4</v>
      </c>
      <c r="X16" s="227">
        <v>2</v>
      </c>
      <c r="Y16" s="227">
        <v>14</v>
      </c>
      <c r="Z16" s="227">
        <v>5</v>
      </c>
      <c r="AA16" s="227">
        <v>2</v>
      </c>
      <c r="AV16" s="241"/>
      <c r="AW16" s="246" t="s">
        <v>202</v>
      </c>
      <c r="AX16" s="241"/>
      <c r="AY16" s="241"/>
      <c r="AZ16" s="241"/>
      <c r="BA16" s="241"/>
      <c r="BB16" s="241"/>
      <c r="BC16" s="241"/>
      <c r="BD16" s="241"/>
      <c r="BE16" s="241"/>
    </row>
    <row r="17" spans="1:57" ht="12" x14ac:dyDescent="0.25">
      <c r="A17" s="237" t="s">
        <v>188</v>
      </c>
      <c r="B17" s="236"/>
      <c r="C17" s="236"/>
      <c r="D17" s="236"/>
      <c r="E17" s="236"/>
      <c r="F17" s="236"/>
      <c r="G17" s="236"/>
      <c r="H17" s="236"/>
      <c r="I17" s="236"/>
      <c r="J17" s="236"/>
      <c r="L17" s="242" t="s">
        <v>36</v>
      </c>
      <c r="M17" s="241" t="s">
        <v>211</v>
      </c>
      <c r="N17" s="241"/>
      <c r="O17" s="241"/>
      <c r="P17" s="241"/>
      <c r="Q17" s="241"/>
      <c r="R17" s="241"/>
      <c r="S17" s="241"/>
      <c r="T17" s="241"/>
      <c r="U17" s="241"/>
      <c r="V17" s="244" t="s">
        <v>43</v>
      </c>
      <c r="W17" s="227">
        <v>4</v>
      </c>
      <c r="X17" s="227">
        <v>3</v>
      </c>
      <c r="Y17" s="227">
        <v>13</v>
      </c>
      <c r="Z17" s="227">
        <v>5</v>
      </c>
      <c r="AA17" s="227">
        <v>3</v>
      </c>
      <c r="AK17" s="240" t="s">
        <v>177</v>
      </c>
      <c r="AL17" s="241"/>
      <c r="AM17" s="241"/>
      <c r="AN17" s="241"/>
      <c r="AO17" s="241"/>
      <c r="AP17" s="241"/>
      <c r="AQ17" s="241"/>
      <c r="AR17" s="241"/>
      <c r="AS17" s="241"/>
      <c r="AT17" s="241"/>
      <c r="AV17" s="241"/>
      <c r="AW17" s="246" t="s">
        <v>232</v>
      </c>
      <c r="AX17" s="241"/>
      <c r="AY17" s="241"/>
      <c r="AZ17" s="241"/>
      <c r="BA17" s="241"/>
      <c r="BB17" s="241"/>
      <c r="BC17" s="241"/>
      <c r="BD17" s="241"/>
      <c r="BE17" s="241"/>
    </row>
    <row r="18" spans="1:57" x14ac:dyDescent="0.2">
      <c r="A18" s="238" t="s">
        <v>33</v>
      </c>
      <c r="B18" s="236" t="s">
        <v>248</v>
      </c>
      <c r="C18" s="236"/>
      <c r="D18" s="236"/>
      <c r="E18" s="236"/>
      <c r="F18" s="236"/>
      <c r="G18" s="236"/>
      <c r="H18" s="236"/>
      <c r="I18" s="236"/>
      <c r="J18" s="236"/>
      <c r="L18" s="241"/>
      <c r="M18" s="241" t="s">
        <v>226</v>
      </c>
      <c r="N18" s="241"/>
      <c r="O18" s="241"/>
      <c r="P18" s="241"/>
      <c r="Q18" s="241"/>
      <c r="R18" s="241"/>
      <c r="S18" s="241"/>
      <c r="T18" s="241"/>
      <c r="U18" s="241"/>
      <c r="V18" s="244" t="s">
        <v>24</v>
      </c>
      <c r="W18" s="227">
        <v>4</v>
      </c>
      <c r="X18" s="227">
        <v>4</v>
      </c>
      <c r="Y18" s="227">
        <v>23</v>
      </c>
      <c r="Z18" s="227">
        <v>4</v>
      </c>
      <c r="AA18" s="227">
        <v>3</v>
      </c>
      <c r="AK18" s="242" t="s">
        <v>33</v>
      </c>
      <c r="AL18" s="241" t="s">
        <v>210</v>
      </c>
      <c r="AM18" s="241"/>
      <c r="AN18" s="241"/>
      <c r="AO18" s="241"/>
      <c r="AP18" s="241"/>
      <c r="AQ18" s="241"/>
      <c r="AR18" s="241"/>
      <c r="AS18" s="241"/>
      <c r="AT18" s="241"/>
      <c r="AV18" s="242" t="s">
        <v>34</v>
      </c>
      <c r="AW18" s="241" t="s">
        <v>241</v>
      </c>
      <c r="AX18" s="241"/>
      <c r="AY18" s="241"/>
      <c r="AZ18" s="241"/>
      <c r="BA18" s="241"/>
      <c r="BB18" s="241"/>
      <c r="BC18" s="241"/>
      <c r="BD18" s="241"/>
      <c r="BE18" s="241"/>
    </row>
    <row r="19" spans="1:57" x14ac:dyDescent="0.2">
      <c r="A19" s="238"/>
      <c r="B19" s="236" t="s">
        <v>251</v>
      </c>
      <c r="C19" s="236"/>
      <c r="D19" s="236"/>
      <c r="E19" s="236"/>
      <c r="F19" s="236"/>
      <c r="G19" s="236"/>
      <c r="H19" s="236"/>
      <c r="I19" s="236"/>
      <c r="J19" s="236"/>
      <c r="L19" s="242" t="s">
        <v>178</v>
      </c>
      <c r="M19" s="269" t="s">
        <v>223</v>
      </c>
      <c r="N19" s="269"/>
      <c r="O19" s="269"/>
      <c r="P19" s="269"/>
      <c r="Q19" s="269"/>
      <c r="R19" s="269"/>
      <c r="S19" s="269"/>
      <c r="T19" s="241"/>
      <c r="U19" s="241"/>
      <c r="V19" s="244" t="s">
        <v>25</v>
      </c>
      <c r="W19" s="227">
        <v>4</v>
      </c>
      <c r="X19" s="227">
        <v>5</v>
      </c>
      <c r="Y19" s="227">
        <v>24</v>
      </c>
      <c r="Z19" s="227">
        <v>4</v>
      </c>
      <c r="AA19" s="227">
        <v>4</v>
      </c>
      <c r="AK19" s="242" t="s">
        <v>34</v>
      </c>
      <c r="AL19" s="241" t="s">
        <v>211</v>
      </c>
      <c r="AM19" s="241"/>
      <c r="AN19" s="241"/>
      <c r="AO19" s="241"/>
      <c r="AP19" s="241"/>
      <c r="AQ19" s="241"/>
      <c r="AR19" s="241"/>
      <c r="AS19" s="241"/>
      <c r="AT19" s="241"/>
      <c r="AV19" s="241"/>
      <c r="AW19" s="241" t="s">
        <v>242</v>
      </c>
      <c r="AX19" s="241"/>
      <c r="AY19" s="241"/>
      <c r="AZ19" s="241"/>
      <c r="BA19" s="241"/>
      <c r="BB19" s="241"/>
      <c r="BC19" s="241"/>
      <c r="BD19" s="241"/>
      <c r="BE19" s="241"/>
    </row>
    <row r="20" spans="1:57" x14ac:dyDescent="0.2">
      <c r="A20" s="238" t="s">
        <v>34</v>
      </c>
      <c r="B20" s="236" t="s">
        <v>183</v>
      </c>
      <c r="C20" s="236"/>
      <c r="D20" s="236"/>
      <c r="E20" s="236"/>
      <c r="F20" s="236"/>
      <c r="G20" s="236"/>
      <c r="H20" s="236"/>
      <c r="I20" s="236"/>
      <c r="J20" s="236"/>
      <c r="L20" s="241"/>
      <c r="M20" s="269" t="s">
        <v>268</v>
      </c>
      <c r="N20" s="269"/>
      <c r="O20" s="269"/>
      <c r="P20" s="269"/>
      <c r="Q20" s="269"/>
      <c r="R20" s="269"/>
      <c r="S20" s="269"/>
      <c r="T20" s="241"/>
      <c r="U20" s="241"/>
      <c r="V20" s="244" t="s">
        <v>40</v>
      </c>
      <c r="W20" s="227">
        <v>4</v>
      </c>
      <c r="X20" s="227">
        <v>6</v>
      </c>
      <c r="Y20" s="227">
        <v>18</v>
      </c>
      <c r="Z20" s="227">
        <v>5</v>
      </c>
      <c r="AA20" s="227">
        <v>5</v>
      </c>
      <c r="AK20" s="281"/>
      <c r="AL20" s="241" t="s">
        <v>226</v>
      </c>
      <c r="AM20" s="241"/>
      <c r="AN20" s="241"/>
      <c r="AO20" s="241"/>
      <c r="AP20" s="241"/>
      <c r="AQ20" s="241"/>
      <c r="AR20" s="241"/>
      <c r="AS20" s="241"/>
      <c r="AT20" s="241"/>
      <c r="AV20" s="242" t="s">
        <v>36</v>
      </c>
      <c r="AW20" s="241" t="s">
        <v>264</v>
      </c>
      <c r="AX20" s="241"/>
      <c r="AY20" s="241"/>
      <c r="AZ20" s="241"/>
      <c r="BA20" s="241"/>
      <c r="BB20" s="241"/>
      <c r="BC20" s="241"/>
      <c r="BD20" s="241"/>
      <c r="BE20" s="241"/>
    </row>
    <row r="21" spans="1:57" x14ac:dyDescent="0.2">
      <c r="A21" s="238" t="s">
        <v>35</v>
      </c>
      <c r="B21" s="236" t="s">
        <v>250</v>
      </c>
      <c r="C21" s="236"/>
      <c r="D21" s="236"/>
      <c r="E21" s="236"/>
      <c r="F21" s="236"/>
      <c r="G21" s="236"/>
      <c r="H21" s="236"/>
      <c r="I21" s="236"/>
      <c r="J21" s="236"/>
      <c r="V21" s="244" t="s">
        <v>105</v>
      </c>
      <c r="W21" s="227">
        <v>5</v>
      </c>
      <c r="X21" s="227">
        <v>0</v>
      </c>
      <c r="Y21" s="227">
        <v>31</v>
      </c>
      <c r="Z21" s="227">
        <v>6</v>
      </c>
      <c r="AA21" s="227">
        <v>0</v>
      </c>
      <c r="AK21" s="242" t="s">
        <v>35</v>
      </c>
      <c r="AL21" s="241" t="s">
        <v>179</v>
      </c>
      <c r="AM21" s="241"/>
      <c r="AN21" s="241"/>
      <c r="AO21" s="241"/>
      <c r="AP21" s="241"/>
      <c r="AQ21" s="241"/>
      <c r="AR21" s="241"/>
      <c r="AS21" s="241"/>
      <c r="AT21" s="241"/>
      <c r="AV21" s="241"/>
      <c r="AW21" s="241" t="s">
        <v>265</v>
      </c>
      <c r="AX21" s="241"/>
      <c r="AY21" s="241"/>
      <c r="AZ21" s="241"/>
      <c r="BA21" s="241"/>
      <c r="BB21" s="241"/>
      <c r="BC21" s="241"/>
      <c r="BD21" s="241"/>
      <c r="BE21" s="241"/>
    </row>
    <row r="22" spans="1:57" ht="12" x14ac:dyDescent="0.25">
      <c r="A22" s="238" t="s">
        <v>36</v>
      </c>
      <c r="B22" s="236" t="s">
        <v>249</v>
      </c>
      <c r="C22" s="236"/>
      <c r="D22" s="236"/>
      <c r="E22" s="236"/>
      <c r="F22" s="236"/>
      <c r="G22" s="236"/>
      <c r="H22" s="236"/>
      <c r="I22" s="236"/>
      <c r="J22" s="236"/>
      <c r="L22" s="233" t="s">
        <v>218</v>
      </c>
      <c r="M22" s="232"/>
      <c r="N22" s="232"/>
      <c r="O22" s="232"/>
      <c r="P22" s="232"/>
      <c r="Q22" s="232"/>
      <c r="R22" s="232"/>
      <c r="S22" s="232"/>
      <c r="T22" s="232"/>
      <c r="U22" s="232"/>
      <c r="V22" s="244" t="s">
        <v>192</v>
      </c>
      <c r="W22" s="227">
        <v>5</v>
      </c>
      <c r="X22" s="227">
        <v>1</v>
      </c>
      <c r="Y22" s="227">
        <v>33</v>
      </c>
      <c r="Z22" s="227">
        <v>6</v>
      </c>
      <c r="AA22" s="227">
        <v>1</v>
      </c>
      <c r="AK22" s="281"/>
      <c r="AL22" s="241" t="s">
        <v>180</v>
      </c>
      <c r="AM22" s="241"/>
      <c r="AN22" s="241"/>
      <c r="AO22" s="241"/>
      <c r="AP22" s="241"/>
      <c r="AQ22" s="241"/>
      <c r="AR22" s="241"/>
      <c r="AS22" s="241"/>
      <c r="AT22" s="241"/>
      <c r="AV22" s="242" t="s">
        <v>178</v>
      </c>
      <c r="AW22" s="269" t="s">
        <v>240</v>
      </c>
      <c r="AX22" s="269"/>
      <c r="AY22" s="269"/>
      <c r="AZ22" s="269"/>
      <c r="BA22" s="269"/>
      <c r="BB22" s="269"/>
      <c r="BC22" s="269"/>
      <c r="BD22" s="241"/>
      <c r="BE22" s="241"/>
    </row>
    <row r="23" spans="1:57" ht="12" x14ac:dyDescent="0.25">
      <c r="L23" s="233"/>
      <c r="M23" s="232"/>
      <c r="N23" s="232"/>
      <c r="O23" s="232"/>
      <c r="P23" s="232"/>
      <c r="Q23" s="232"/>
      <c r="R23" s="232"/>
      <c r="S23" s="232"/>
      <c r="T23" s="232"/>
      <c r="U23" s="232"/>
      <c r="V23" s="244" t="s">
        <v>46</v>
      </c>
      <c r="W23" s="227">
        <v>5</v>
      </c>
      <c r="X23" s="227">
        <v>2</v>
      </c>
      <c r="Y23" s="227">
        <v>29</v>
      </c>
      <c r="Z23" s="227">
        <v>6</v>
      </c>
      <c r="AA23" s="227">
        <v>2</v>
      </c>
      <c r="AK23" s="242" t="s">
        <v>36</v>
      </c>
      <c r="AL23" s="241" t="s">
        <v>227</v>
      </c>
      <c r="AM23" s="241"/>
      <c r="AN23" s="241"/>
      <c r="AO23" s="241"/>
      <c r="AP23" s="241"/>
      <c r="AQ23" s="241"/>
      <c r="AR23" s="241"/>
      <c r="AS23" s="241"/>
      <c r="AT23" s="241"/>
      <c r="AV23" s="272"/>
      <c r="AW23" s="270"/>
      <c r="AX23" s="270"/>
      <c r="AY23" s="270"/>
      <c r="AZ23" s="270"/>
      <c r="BA23" s="270"/>
      <c r="BB23" s="270"/>
      <c r="BC23" s="270"/>
      <c r="BD23" s="270"/>
      <c r="BE23" s="270"/>
    </row>
    <row r="24" spans="1:57" ht="12" x14ac:dyDescent="0.25">
      <c r="L24" s="416" t="s">
        <v>262</v>
      </c>
      <c r="M24" s="273"/>
      <c r="N24" s="274"/>
      <c r="O24" s="274"/>
      <c r="P24" s="275" t="s">
        <v>199</v>
      </c>
      <c r="Q24" s="274"/>
      <c r="R24" s="274"/>
      <c r="S24" s="274"/>
      <c r="T24" s="276"/>
      <c r="U24" s="232"/>
      <c r="V24" s="244" t="s">
        <v>28</v>
      </c>
      <c r="W24" s="227">
        <v>5</v>
      </c>
      <c r="X24" s="227">
        <v>3</v>
      </c>
      <c r="Y24" s="227">
        <v>28</v>
      </c>
      <c r="Z24" s="227">
        <v>5</v>
      </c>
      <c r="AA24" s="227">
        <v>4</v>
      </c>
      <c r="AK24" s="281"/>
      <c r="AL24" s="241" t="s">
        <v>181</v>
      </c>
      <c r="AM24" s="241"/>
      <c r="AN24" s="241"/>
      <c r="AO24" s="241"/>
      <c r="AP24" s="241"/>
      <c r="AQ24" s="241"/>
      <c r="AR24" s="241"/>
      <c r="AS24" s="241"/>
      <c r="AT24" s="241"/>
      <c r="AV24" s="233" t="s">
        <v>218</v>
      </c>
      <c r="AW24" s="232"/>
      <c r="AX24" s="232"/>
      <c r="AY24" s="232"/>
      <c r="AZ24" s="232"/>
      <c r="BA24" s="232"/>
      <c r="BB24" s="232"/>
      <c r="BC24" s="232"/>
      <c r="BD24" s="232"/>
      <c r="BE24" s="232"/>
    </row>
    <row r="25" spans="1:57" ht="12" x14ac:dyDescent="0.25">
      <c r="A25" s="233" t="s">
        <v>177</v>
      </c>
      <c r="B25" s="232"/>
      <c r="C25" s="232"/>
      <c r="D25" s="232"/>
      <c r="E25" s="232"/>
      <c r="F25" s="232"/>
      <c r="G25" s="232"/>
      <c r="H25" s="232"/>
      <c r="I25" s="232"/>
      <c r="J25" s="232"/>
      <c r="L25" s="416"/>
      <c r="M25" s="277"/>
      <c r="N25" s="278"/>
      <c r="O25" s="278"/>
      <c r="P25" s="279" t="s">
        <v>209</v>
      </c>
      <c r="Q25" s="278"/>
      <c r="R25" s="278"/>
      <c r="S25" s="278"/>
      <c r="T25" s="280"/>
      <c r="U25" s="232"/>
      <c r="V25" s="244" t="s">
        <v>76</v>
      </c>
      <c r="W25" s="227">
        <v>5</v>
      </c>
      <c r="X25" s="227">
        <v>4</v>
      </c>
      <c r="Y25" s="227">
        <v>27</v>
      </c>
      <c r="Z25" s="227">
        <v>6</v>
      </c>
      <c r="AA25" s="227">
        <v>4</v>
      </c>
      <c r="AV25" s="233"/>
      <c r="AW25" s="232"/>
      <c r="AX25" s="232"/>
      <c r="AY25" s="232"/>
      <c r="AZ25" s="232"/>
      <c r="BA25" s="232"/>
      <c r="BB25" s="232"/>
      <c r="BC25" s="232"/>
      <c r="BD25" s="232"/>
      <c r="BE25" s="232"/>
    </row>
    <row r="26" spans="1:57" ht="12" x14ac:dyDescent="0.25">
      <c r="A26" s="234" t="s">
        <v>33</v>
      </c>
      <c r="B26" s="232" t="s">
        <v>210</v>
      </c>
      <c r="C26" s="232"/>
      <c r="D26" s="232"/>
      <c r="E26" s="232"/>
      <c r="F26" s="232"/>
      <c r="G26" s="232"/>
      <c r="H26" s="232"/>
      <c r="I26" s="232"/>
      <c r="J26" s="232"/>
      <c r="L26" s="416"/>
      <c r="M26" s="252" t="s">
        <v>194</v>
      </c>
      <c r="N26" s="253"/>
      <c r="O26" s="254"/>
      <c r="P26" s="258" t="s">
        <v>219</v>
      </c>
      <c r="Q26" s="254"/>
      <c r="R26" s="254"/>
      <c r="S26" s="254"/>
      <c r="T26" s="255"/>
      <c r="U26" s="232"/>
      <c r="V26" s="244" t="s">
        <v>97</v>
      </c>
      <c r="W26" s="227">
        <v>5</v>
      </c>
      <c r="X26" s="227">
        <v>5</v>
      </c>
      <c r="Y26" s="227">
        <v>34</v>
      </c>
      <c r="Z26" s="227">
        <v>6</v>
      </c>
      <c r="AA26" s="227">
        <v>3</v>
      </c>
      <c r="AK26" s="233" t="s">
        <v>218</v>
      </c>
      <c r="AL26" s="232"/>
      <c r="AM26" s="232"/>
      <c r="AN26" s="232"/>
      <c r="AO26" s="232"/>
      <c r="AP26" s="232"/>
      <c r="AQ26" s="232"/>
      <c r="AR26" s="232"/>
      <c r="AS26" s="232"/>
      <c r="AT26" s="232"/>
      <c r="AV26" s="416" t="s">
        <v>262</v>
      </c>
      <c r="AW26" s="273"/>
      <c r="AX26" s="274"/>
      <c r="AY26" s="274"/>
      <c r="AZ26" s="275" t="s">
        <v>199</v>
      </c>
      <c r="BA26" s="274"/>
      <c r="BB26" s="274"/>
      <c r="BC26" s="274"/>
      <c r="BD26" s="276"/>
      <c r="BE26" s="232"/>
    </row>
    <row r="27" spans="1:57" ht="12" x14ac:dyDescent="0.25">
      <c r="A27" s="234" t="s">
        <v>34</v>
      </c>
      <c r="B27" s="232" t="s">
        <v>211</v>
      </c>
      <c r="C27" s="232"/>
      <c r="D27" s="232"/>
      <c r="E27" s="232"/>
      <c r="F27" s="232"/>
      <c r="G27" s="232"/>
      <c r="H27" s="232"/>
      <c r="I27" s="232"/>
      <c r="J27" s="232"/>
      <c r="L27" s="416"/>
      <c r="M27" s="256">
        <v>6</v>
      </c>
      <c r="N27" s="247" t="s">
        <v>111</v>
      </c>
      <c r="O27" s="262"/>
      <c r="P27" s="262"/>
      <c r="Q27" s="262"/>
      <c r="R27" s="262"/>
      <c r="S27" s="262"/>
      <c r="T27" s="248"/>
      <c r="U27" s="232"/>
      <c r="V27" s="244" t="s">
        <v>48</v>
      </c>
      <c r="W27" s="227">
        <v>6</v>
      </c>
      <c r="X27" s="227">
        <v>0</v>
      </c>
      <c r="Y27" s="227">
        <v>39</v>
      </c>
      <c r="Z27" s="227">
        <v>7</v>
      </c>
      <c r="AA27" s="227">
        <v>0</v>
      </c>
      <c r="AK27" s="233"/>
      <c r="AL27" s="232"/>
      <c r="AM27" s="232"/>
      <c r="AN27" s="232"/>
      <c r="AO27" s="232"/>
      <c r="AP27" s="232"/>
      <c r="AQ27" s="232"/>
      <c r="AR27" s="232"/>
      <c r="AS27" s="232"/>
      <c r="AT27" s="232"/>
      <c r="AV27" s="416"/>
      <c r="AW27" s="277"/>
      <c r="AX27" s="278"/>
      <c r="AY27" s="278"/>
      <c r="AZ27" s="279" t="s">
        <v>209</v>
      </c>
      <c r="BA27" s="278"/>
      <c r="BB27" s="278"/>
      <c r="BC27" s="278"/>
      <c r="BD27" s="280"/>
      <c r="BE27" s="232"/>
    </row>
    <row r="28" spans="1:57" ht="12" x14ac:dyDescent="0.25">
      <c r="A28" s="235"/>
      <c r="B28" s="232" t="s">
        <v>226</v>
      </c>
      <c r="C28" s="232"/>
      <c r="D28" s="232"/>
      <c r="E28" s="232"/>
      <c r="F28" s="232"/>
      <c r="G28" s="232"/>
      <c r="H28" s="232"/>
      <c r="I28" s="232"/>
      <c r="J28" s="232"/>
      <c r="L28" s="416"/>
      <c r="M28" s="256">
        <v>5</v>
      </c>
      <c r="N28" s="247" t="s">
        <v>114</v>
      </c>
      <c r="O28" s="262" t="s">
        <v>8</v>
      </c>
      <c r="P28" s="262"/>
      <c r="Q28" s="262"/>
      <c r="R28" s="262"/>
      <c r="S28" s="262"/>
      <c r="T28" s="248"/>
      <c r="U28" s="232"/>
      <c r="V28" s="244" t="s">
        <v>193</v>
      </c>
      <c r="W28" s="227">
        <v>6</v>
      </c>
      <c r="X28" s="227">
        <v>1</v>
      </c>
      <c r="Y28" s="227">
        <v>38</v>
      </c>
      <c r="Z28" s="227">
        <v>7</v>
      </c>
      <c r="AA28" s="227">
        <v>1</v>
      </c>
      <c r="AK28" s="416" t="s">
        <v>262</v>
      </c>
      <c r="AL28" s="273"/>
      <c r="AM28" s="274"/>
      <c r="AN28" s="274"/>
      <c r="AO28" s="275" t="s">
        <v>199</v>
      </c>
      <c r="AP28" s="274"/>
      <c r="AQ28" s="274"/>
      <c r="AR28" s="274"/>
      <c r="AS28" s="276"/>
      <c r="AT28" s="232"/>
      <c r="AV28" s="416"/>
      <c r="AW28" s="252" t="s">
        <v>194</v>
      </c>
      <c r="AX28" s="253"/>
      <c r="AY28" s="254"/>
      <c r="AZ28" s="258" t="s">
        <v>219</v>
      </c>
      <c r="BA28" s="254"/>
      <c r="BB28" s="254"/>
      <c r="BC28" s="254"/>
      <c r="BD28" s="255"/>
      <c r="BE28" s="232"/>
    </row>
    <row r="29" spans="1:57" ht="12" customHeight="1" x14ac:dyDescent="0.25">
      <c r="A29" s="234" t="s">
        <v>35</v>
      </c>
      <c r="B29" s="289" t="s">
        <v>179</v>
      </c>
      <c r="C29" s="232"/>
      <c r="D29" s="232"/>
      <c r="E29" s="232"/>
      <c r="F29" s="232"/>
      <c r="G29" s="232"/>
      <c r="H29" s="232"/>
      <c r="I29" s="232"/>
      <c r="J29" s="232"/>
      <c r="L29" s="416"/>
      <c r="M29" s="256">
        <v>4</v>
      </c>
      <c r="N29" s="247" t="s">
        <v>147</v>
      </c>
      <c r="O29" s="262" t="s">
        <v>15</v>
      </c>
      <c r="P29" s="262"/>
      <c r="Q29" s="262"/>
      <c r="R29" s="262"/>
      <c r="S29" s="262"/>
      <c r="T29" s="248"/>
      <c r="U29" s="232"/>
      <c r="V29" s="244" t="s">
        <v>29</v>
      </c>
      <c r="W29" s="227">
        <v>6</v>
      </c>
      <c r="X29" s="227">
        <v>2</v>
      </c>
      <c r="Y29" s="227">
        <v>30</v>
      </c>
      <c r="Z29" s="227">
        <v>7</v>
      </c>
      <c r="AA29" s="227">
        <v>2</v>
      </c>
      <c r="AK29" s="416"/>
      <c r="AL29" s="277"/>
      <c r="AM29" s="278"/>
      <c r="AN29" s="278"/>
      <c r="AO29" s="279" t="s">
        <v>209</v>
      </c>
      <c r="AP29" s="278"/>
      <c r="AQ29" s="278"/>
      <c r="AR29" s="278"/>
      <c r="AS29" s="280"/>
      <c r="AT29" s="232"/>
      <c r="AV29" s="416"/>
      <c r="AW29" s="256">
        <v>6</v>
      </c>
      <c r="AX29" s="247" t="s">
        <v>111</v>
      </c>
      <c r="AY29" s="262"/>
      <c r="AZ29" s="262"/>
      <c r="BA29" s="262"/>
      <c r="BB29" s="262"/>
      <c r="BC29" s="262"/>
      <c r="BD29" s="248"/>
      <c r="BE29" s="232"/>
    </row>
    <row r="30" spans="1:57" ht="12" x14ac:dyDescent="0.25">
      <c r="A30" s="235"/>
      <c r="B30" s="232" t="s">
        <v>180</v>
      </c>
      <c r="C30" s="232"/>
      <c r="D30" s="232"/>
      <c r="E30" s="232"/>
      <c r="F30" s="232"/>
      <c r="G30" s="232"/>
      <c r="H30" s="232"/>
      <c r="I30" s="232"/>
      <c r="J30" s="232"/>
      <c r="L30" s="416"/>
      <c r="M30" s="256">
        <v>3</v>
      </c>
      <c r="N30" s="247" t="s">
        <v>116</v>
      </c>
      <c r="O30" s="262" t="s">
        <v>118</v>
      </c>
      <c r="P30" s="262" t="s">
        <v>13</v>
      </c>
      <c r="Q30" s="262" t="s">
        <v>1</v>
      </c>
      <c r="R30" s="262" t="s">
        <v>41</v>
      </c>
      <c r="S30" s="262" t="s">
        <v>9</v>
      </c>
      <c r="T30" s="248" t="s">
        <v>166</v>
      </c>
      <c r="U30" s="232"/>
      <c r="V30" s="244" t="s">
        <v>37</v>
      </c>
      <c r="W30" s="227">
        <v>6</v>
      </c>
      <c r="X30" s="227">
        <v>3</v>
      </c>
      <c r="Y30" s="227">
        <v>21</v>
      </c>
      <c r="Z30" s="227">
        <v>7</v>
      </c>
      <c r="AA30" s="227">
        <v>3</v>
      </c>
      <c r="AK30" s="416"/>
      <c r="AL30" s="252" t="s">
        <v>194</v>
      </c>
      <c r="AM30" s="253"/>
      <c r="AN30" s="254"/>
      <c r="AO30" s="258" t="s">
        <v>219</v>
      </c>
      <c r="AP30" s="254"/>
      <c r="AQ30" s="254"/>
      <c r="AR30" s="254"/>
      <c r="AS30" s="255"/>
      <c r="AT30" s="232"/>
      <c r="AV30" s="416"/>
      <c r="AW30" s="256">
        <v>5</v>
      </c>
      <c r="AX30" s="247" t="s">
        <v>114</v>
      </c>
      <c r="AY30" s="262" t="s">
        <v>8</v>
      </c>
      <c r="AZ30" s="262"/>
      <c r="BA30" s="262"/>
      <c r="BB30" s="262"/>
      <c r="BC30" s="262"/>
      <c r="BD30" s="248"/>
      <c r="BE30" s="232"/>
    </row>
    <row r="31" spans="1:57" ht="12" x14ac:dyDescent="0.25">
      <c r="A31" s="234" t="s">
        <v>36</v>
      </c>
      <c r="B31" s="232" t="s">
        <v>227</v>
      </c>
      <c r="C31" s="232"/>
      <c r="D31" s="232"/>
      <c r="E31" s="232"/>
      <c r="F31" s="232"/>
      <c r="G31" s="232"/>
      <c r="H31" s="232"/>
      <c r="I31" s="232"/>
      <c r="J31" s="232"/>
      <c r="L31" s="416"/>
      <c r="M31" s="256">
        <v>2</v>
      </c>
      <c r="N31" s="247" t="s">
        <v>19</v>
      </c>
      <c r="O31" s="262" t="s">
        <v>23</v>
      </c>
      <c r="P31" s="262" t="s">
        <v>14</v>
      </c>
      <c r="Q31" s="262" t="s">
        <v>43</v>
      </c>
      <c r="R31" s="262" t="s">
        <v>24</v>
      </c>
      <c r="S31" s="262" t="s">
        <v>25</v>
      </c>
      <c r="T31" s="248" t="s">
        <v>40</v>
      </c>
      <c r="U31" s="232"/>
      <c r="V31" s="245" t="s">
        <v>77</v>
      </c>
      <c r="W31" s="227">
        <v>6</v>
      </c>
      <c r="X31" s="227">
        <v>4</v>
      </c>
      <c r="Y31" s="227">
        <v>35</v>
      </c>
      <c r="Z31" s="227">
        <v>7</v>
      </c>
      <c r="AA31" s="227">
        <v>4</v>
      </c>
      <c r="AK31" s="416"/>
      <c r="AL31" s="256">
        <v>6</v>
      </c>
      <c r="AM31" s="247" t="s">
        <v>111</v>
      </c>
      <c r="AN31" s="262"/>
      <c r="AO31" s="262"/>
      <c r="AP31" s="262"/>
      <c r="AQ31" s="262"/>
      <c r="AR31" s="262"/>
      <c r="AS31" s="248"/>
      <c r="AT31" s="232"/>
      <c r="AV31" s="416"/>
      <c r="AW31" s="256">
        <v>4</v>
      </c>
      <c r="AX31" s="247" t="s">
        <v>147</v>
      </c>
      <c r="AY31" s="262" t="s">
        <v>15</v>
      </c>
      <c r="AZ31" s="262"/>
      <c r="BA31" s="262"/>
      <c r="BB31" s="262"/>
      <c r="BC31" s="262"/>
      <c r="BD31" s="248"/>
      <c r="BE31" s="232"/>
    </row>
    <row r="32" spans="1:57" ht="12" x14ac:dyDescent="0.25">
      <c r="A32" s="235"/>
      <c r="B32" s="232" t="s">
        <v>181</v>
      </c>
      <c r="C32" s="232"/>
      <c r="D32" s="232"/>
      <c r="E32" s="232"/>
      <c r="F32" s="232"/>
      <c r="G32" s="232"/>
      <c r="H32" s="232"/>
      <c r="I32" s="232"/>
      <c r="J32" s="232"/>
      <c r="L32" s="416"/>
      <c r="M32" s="256">
        <v>1</v>
      </c>
      <c r="N32" s="247" t="s">
        <v>105</v>
      </c>
      <c r="O32" s="262" t="s">
        <v>192</v>
      </c>
      <c r="P32" s="262" t="s">
        <v>46</v>
      </c>
      <c r="Q32" s="262" t="s">
        <v>28</v>
      </c>
      <c r="R32" s="262" t="s">
        <v>76</v>
      </c>
      <c r="S32" s="262" t="s">
        <v>97</v>
      </c>
      <c r="T32" s="248"/>
      <c r="U32" s="232"/>
      <c r="AK32" s="416"/>
      <c r="AL32" s="256">
        <v>5</v>
      </c>
      <c r="AM32" s="247" t="s">
        <v>114</v>
      </c>
      <c r="AN32" s="262" t="s">
        <v>8</v>
      </c>
      <c r="AO32" s="262"/>
      <c r="AP32" s="262"/>
      <c r="AQ32" s="262"/>
      <c r="AR32" s="262"/>
      <c r="AS32" s="248"/>
      <c r="AT32" s="232"/>
      <c r="AV32" s="416"/>
      <c r="AW32" s="256">
        <v>3</v>
      </c>
      <c r="AX32" s="247" t="s">
        <v>116</v>
      </c>
      <c r="AY32" s="262" t="s">
        <v>118</v>
      </c>
      <c r="AZ32" s="262" t="s">
        <v>13</v>
      </c>
      <c r="BA32" s="262" t="s">
        <v>1</v>
      </c>
      <c r="BB32" s="262" t="s">
        <v>41</v>
      </c>
      <c r="BC32" s="262" t="s">
        <v>9</v>
      </c>
      <c r="BD32" s="248" t="s">
        <v>166</v>
      </c>
      <c r="BE32" s="232"/>
    </row>
    <row r="33" spans="12:57" ht="12" x14ac:dyDescent="0.25">
      <c r="L33" s="416"/>
      <c r="M33" s="257">
        <v>0</v>
      </c>
      <c r="N33" s="249" t="s">
        <v>48</v>
      </c>
      <c r="O33" s="250" t="s">
        <v>193</v>
      </c>
      <c r="P33" s="250" t="s">
        <v>29</v>
      </c>
      <c r="Q33" s="250" t="s">
        <v>37</v>
      </c>
      <c r="R33" s="250" t="s">
        <v>77</v>
      </c>
      <c r="S33" s="250"/>
      <c r="T33" s="251"/>
      <c r="U33" s="232"/>
      <c r="AK33" s="416"/>
      <c r="AL33" s="256">
        <v>4</v>
      </c>
      <c r="AM33" s="247" t="s">
        <v>147</v>
      </c>
      <c r="AN33" s="262" t="s">
        <v>15</v>
      </c>
      <c r="AO33" s="262"/>
      <c r="AP33" s="262"/>
      <c r="AQ33" s="262"/>
      <c r="AR33" s="262"/>
      <c r="AS33" s="248"/>
      <c r="AT33" s="232"/>
      <c r="AV33" s="416"/>
      <c r="AW33" s="256">
        <v>2</v>
      </c>
      <c r="AX33" s="247" t="s">
        <v>19</v>
      </c>
      <c r="AY33" s="262" t="s">
        <v>23</v>
      </c>
      <c r="AZ33" s="262" t="s">
        <v>14</v>
      </c>
      <c r="BA33" s="262" t="s">
        <v>43</v>
      </c>
      <c r="BB33" s="262" t="s">
        <v>24</v>
      </c>
      <c r="BC33" s="262" t="s">
        <v>25</v>
      </c>
      <c r="BD33" s="248" t="s">
        <v>40</v>
      </c>
      <c r="BE33" s="232"/>
    </row>
    <row r="34" spans="12:57" ht="12" x14ac:dyDescent="0.25">
      <c r="L34" s="416"/>
      <c r="M34" s="263" t="s">
        <v>225</v>
      </c>
      <c r="N34" s="264"/>
      <c r="O34" s="264"/>
      <c r="P34" s="264"/>
      <c r="Q34" s="264"/>
      <c r="R34" s="264"/>
      <c r="S34" s="264"/>
      <c r="T34" s="265"/>
      <c r="U34" s="232"/>
      <c r="AK34" s="416"/>
      <c r="AL34" s="256">
        <v>3</v>
      </c>
      <c r="AM34" s="247" t="s">
        <v>116</v>
      </c>
      <c r="AN34" s="262" t="s">
        <v>118</v>
      </c>
      <c r="AO34" s="262" t="s">
        <v>13</v>
      </c>
      <c r="AP34" s="262" t="s">
        <v>1</v>
      </c>
      <c r="AQ34" s="262" t="s">
        <v>41</v>
      </c>
      <c r="AR34" s="262" t="s">
        <v>9</v>
      </c>
      <c r="AS34" s="248" t="s">
        <v>166</v>
      </c>
      <c r="AT34" s="232"/>
      <c r="AV34" s="416"/>
      <c r="AW34" s="256">
        <v>1</v>
      </c>
      <c r="AX34" s="247" t="s">
        <v>105</v>
      </c>
      <c r="AY34" s="262" t="s">
        <v>192</v>
      </c>
      <c r="AZ34" s="262" t="s">
        <v>46</v>
      </c>
      <c r="BA34" s="262" t="s">
        <v>28</v>
      </c>
      <c r="BB34" s="262" t="s">
        <v>76</v>
      </c>
      <c r="BC34" s="262" t="s">
        <v>97</v>
      </c>
      <c r="BD34" s="248"/>
      <c r="BE34" s="232"/>
    </row>
    <row r="35" spans="12:57" ht="12" x14ac:dyDescent="0.25">
      <c r="L35" s="416"/>
      <c r="M35" s="266" t="s">
        <v>266</v>
      </c>
      <c r="N35" s="267"/>
      <c r="O35" s="267"/>
      <c r="P35" s="267"/>
      <c r="Q35" s="267"/>
      <c r="R35" s="267"/>
      <c r="S35" s="267"/>
      <c r="T35" s="268"/>
      <c r="U35" s="232"/>
      <c r="AK35" s="416"/>
      <c r="AL35" s="256">
        <v>2</v>
      </c>
      <c r="AM35" s="247" t="s">
        <v>19</v>
      </c>
      <c r="AN35" s="262" t="s">
        <v>23</v>
      </c>
      <c r="AO35" s="262" t="s">
        <v>14</v>
      </c>
      <c r="AP35" s="262" t="s">
        <v>43</v>
      </c>
      <c r="AQ35" s="262" t="s">
        <v>24</v>
      </c>
      <c r="AR35" s="262" t="s">
        <v>25</v>
      </c>
      <c r="AS35" s="248" t="s">
        <v>40</v>
      </c>
      <c r="AT35" s="232"/>
      <c r="AV35" s="416"/>
      <c r="AW35" s="257">
        <v>0</v>
      </c>
      <c r="AX35" s="249" t="s">
        <v>48</v>
      </c>
      <c r="AY35" s="250" t="s">
        <v>193</v>
      </c>
      <c r="AZ35" s="250" t="s">
        <v>29</v>
      </c>
      <c r="BA35" s="250" t="s">
        <v>37</v>
      </c>
      <c r="BB35" s="250" t="s">
        <v>77</v>
      </c>
      <c r="BC35" s="250"/>
      <c r="BD35" s="251"/>
      <c r="BE35" s="232"/>
    </row>
    <row r="36" spans="12:57" ht="12" x14ac:dyDescent="0.25">
      <c r="L36" s="232"/>
      <c r="M36" s="232"/>
      <c r="N36" s="232"/>
      <c r="O36" s="232"/>
      <c r="P36" s="232"/>
      <c r="Q36" s="232"/>
      <c r="R36" s="232"/>
      <c r="S36" s="232"/>
      <c r="T36" s="232"/>
      <c r="U36" s="232"/>
      <c r="AK36" s="416"/>
      <c r="AL36" s="256">
        <v>1</v>
      </c>
      <c r="AM36" s="247" t="s">
        <v>105</v>
      </c>
      <c r="AN36" s="262" t="s">
        <v>192</v>
      </c>
      <c r="AO36" s="262" t="s">
        <v>46</v>
      </c>
      <c r="AP36" s="262" t="s">
        <v>28</v>
      </c>
      <c r="AQ36" s="262" t="s">
        <v>76</v>
      </c>
      <c r="AR36" s="262" t="s">
        <v>97</v>
      </c>
      <c r="AS36" s="248"/>
      <c r="AT36" s="232"/>
      <c r="AV36" s="416"/>
      <c r="AW36" s="263" t="s">
        <v>225</v>
      </c>
      <c r="AX36" s="264"/>
      <c r="AY36" s="264"/>
      <c r="AZ36" s="264"/>
      <c r="BA36" s="264"/>
      <c r="BB36" s="264"/>
      <c r="BC36" s="264"/>
      <c r="BD36" s="265"/>
      <c r="BE36" s="232"/>
    </row>
    <row r="37" spans="12:57" ht="12" x14ac:dyDescent="0.25">
      <c r="L37" s="232"/>
      <c r="M37" s="273"/>
      <c r="N37" s="274"/>
      <c r="O37" s="274"/>
      <c r="P37" s="275" t="s">
        <v>199</v>
      </c>
      <c r="Q37" s="274"/>
      <c r="R37" s="274"/>
      <c r="S37" s="274"/>
      <c r="T37" s="276"/>
      <c r="U37" s="232"/>
      <c r="AK37" s="416"/>
      <c r="AL37" s="257">
        <v>0</v>
      </c>
      <c r="AM37" s="249" t="s">
        <v>48</v>
      </c>
      <c r="AN37" s="250" t="s">
        <v>193</v>
      </c>
      <c r="AO37" s="250" t="s">
        <v>29</v>
      </c>
      <c r="AP37" s="250" t="s">
        <v>37</v>
      </c>
      <c r="AQ37" s="250" t="s">
        <v>77</v>
      </c>
      <c r="AR37" s="250"/>
      <c r="AS37" s="251"/>
      <c r="AT37" s="232"/>
      <c r="AV37" s="416"/>
      <c r="AW37" s="266" t="s">
        <v>266</v>
      </c>
      <c r="AX37" s="267"/>
      <c r="AY37" s="267"/>
      <c r="AZ37" s="267"/>
      <c r="BA37" s="267"/>
      <c r="BB37" s="267"/>
      <c r="BC37" s="267"/>
      <c r="BD37" s="268"/>
      <c r="BE37" s="232"/>
    </row>
    <row r="38" spans="12:57" ht="12" x14ac:dyDescent="0.25">
      <c r="L38" s="232"/>
      <c r="M38" s="277"/>
      <c r="N38" s="278"/>
      <c r="O38" s="278"/>
      <c r="P38" s="279" t="s">
        <v>215</v>
      </c>
      <c r="Q38" s="278"/>
      <c r="R38" s="278"/>
      <c r="S38" s="278"/>
      <c r="T38" s="280"/>
      <c r="U38" s="232"/>
      <c r="AK38" s="416"/>
      <c r="AL38" s="263" t="s">
        <v>225</v>
      </c>
      <c r="AM38" s="264"/>
      <c r="AN38" s="264"/>
      <c r="AO38" s="264"/>
      <c r="AP38" s="264"/>
      <c r="AQ38" s="264"/>
      <c r="AR38" s="264"/>
      <c r="AS38" s="265"/>
      <c r="AT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</row>
    <row r="39" spans="12:57" ht="12" x14ac:dyDescent="0.25">
      <c r="L39" s="232"/>
      <c r="M39" s="252" t="s">
        <v>194</v>
      </c>
      <c r="N39" s="253"/>
      <c r="O39" s="254"/>
      <c r="P39" s="258" t="s">
        <v>219</v>
      </c>
      <c r="Q39" s="254"/>
      <c r="R39" s="254"/>
      <c r="S39" s="254"/>
      <c r="T39" s="255"/>
      <c r="U39" s="232"/>
      <c r="AK39" s="416"/>
      <c r="AL39" s="266" t="s">
        <v>266</v>
      </c>
      <c r="AM39" s="267"/>
      <c r="AN39" s="267"/>
      <c r="AO39" s="267"/>
      <c r="AP39" s="267"/>
      <c r="AQ39" s="267"/>
      <c r="AR39" s="267"/>
      <c r="AS39" s="268"/>
      <c r="AT39" s="232"/>
      <c r="AV39" s="232"/>
      <c r="AW39" s="273"/>
      <c r="AX39" s="274"/>
      <c r="AY39" s="274"/>
      <c r="AZ39" s="275" t="s">
        <v>199</v>
      </c>
      <c r="BA39" s="274"/>
      <c r="BB39" s="274"/>
      <c r="BC39" s="274"/>
      <c r="BD39" s="276"/>
      <c r="BE39" s="232"/>
    </row>
    <row r="40" spans="12:57" ht="12" x14ac:dyDescent="0.25">
      <c r="L40" s="232"/>
      <c r="M40" s="256">
        <v>7</v>
      </c>
      <c r="N40" s="247" t="s">
        <v>111</v>
      </c>
      <c r="O40" s="262"/>
      <c r="P40" s="262"/>
      <c r="Q40" s="262"/>
      <c r="R40" s="262"/>
      <c r="S40" s="262"/>
      <c r="T40" s="248"/>
      <c r="U40" s="232"/>
      <c r="AK40" s="232"/>
      <c r="AL40" s="232"/>
      <c r="AM40" s="232"/>
      <c r="AN40" s="232"/>
      <c r="AO40" s="232"/>
      <c r="AP40" s="232"/>
      <c r="AQ40" s="232"/>
      <c r="AR40" s="232"/>
      <c r="AS40" s="232"/>
      <c r="AT40" s="232"/>
      <c r="AV40" s="232"/>
      <c r="AW40" s="277"/>
      <c r="AX40" s="278"/>
      <c r="AY40" s="278"/>
      <c r="AZ40" s="279" t="s">
        <v>215</v>
      </c>
      <c r="BA40" s="278"/>
      <c r="BB40" s="278"/>
      <c r="BC40" s="278"/>
      <c r="BD40" s="280"/>
      <c r="BE40" s="232"/>
    </row>
    <row r="41" spans="12:57" ht="12" x14ac:dyDescent="0.25">
      <c r="L41" s="232"/>
      <c r="M41" s="256">
        <v>6</v>
      </c>
      <c r="N41" s="247" t="s">
        <v>114</v>
      </c>
      <c r="O41" s="262" t="s">
        <v>8</v>
      </c>
      <c r="P41" s="262"/>
      <c r="Q41" s="262"/>
      <c r="R41" s="262"/>
      <c r="S41" s="262"/>
      <c r="T41" s="248"/>
      <c r="U41" s="232"/>
      <c r="AK41" s="232"/>
      <c r="AL41" s="273"/>
      <c r="AM41" s="274"/>
      <c r="AN41" s="274"/>
      <c r="AO41" s="275" t="s">
        <v>199</v>
      </c>
      <c r="AP41" s="274"/>
      <c r="AQ41" s="274"/>
      <c r="AR41" s="274"/>
      <c r="AS41" s="276"/>
      <c r="AT41" s="232"/>
      <c r="AV41" s="232"/>
      <c r="AW41" s="252" t="s">
        <v>194</v>
      </c>
      <c r="AX41" s="253"/>
      <c r="AY41" s="254"/>
      <c r="AZ41" s="258" t="s">
        <v>219</v>
      </c>
      <c r="BA41" s="254"/>
      <c r="BB41" s="254"/>
      <c r="BC41" s="254"/>
      <c r="BD41" s="255"/>
      <c r="BE41" s="232"/>
    </row>
    <row r="42" spans="12:57" ht="12" x14ac:dyDescent="0.25">
      <c r="L42" s="232"/>
      <c r="M42" s="256">
        <v>5</v>
      </c>
      <c r="N42" s="247" t="s">
        <v>147</v>
      </c>
      <c r="O42" s="262" t="s">
        <v>15</v>
      </c>
      <c r="P42" s="262"/>
      <c r="Q42" s="262"/>
      <c r="R42" s="262"/>
      <c r="S42" s="262"/>
      <c r="T42" s="248"/>
      <c r="U42" s="232"/>
      <c r="AK42" s="232"/>
      <c r="AL42" s="277"/>
      <c r="AM42" s="278"/>
      <c r="AN42" s="278"/>
      <c r="AO42" s="279" t="s">
        <v>215</v>
      </c>
      <c r="AP42" s="278"/>
      <c r="AQ42" s="278"/>
      <c r="AR42" s="278"/>
      <c r="AS42" s="280"/>
      <c r="AT42" s="232"/>
      <c r="AV42" s="232"/>
      <c r="AW42" s="256">
        <v>7</v>
      </c>
      <c r="AX42" s="247" t="s">
        <v>111</v>
      </c>
      <c r="AY42" s="262"/>
      <c r="AZ42" s="262"/>
      <c r="BA42" s="262"/>
      <c r="BB42" s="262"/>
      <c r="BC42" s="262"/>
      <c r="BD42" s="248"/>
      <c r="BE42" s="232"/>
    </row>
    <row r="43" spans="12:57" ht="12" x14ac:dyDescent="0.25">
      <c r="L43" s="232"/>
      <c r="M43" s="256">
        <v>4</v>
      </c>
      <c r="N43" s="247" t="s">
        <v>116</v>
      </c>
      <c r="O43" s="262" t="s">
        <v>118</v>
      </c>
      <c r="P43" s="262" t="s">
        <v>41</v>
      </c>
      <c r="Q43" s="262"/>
      <c r="R43" s="262"/>
      <c r="S43" s="262"/>
      <c r="T43" s="248"/>
      <c r="U43" s="232"/>
      <c r="AK43" s="232"/>
      <c r="AL43" s="252" t="s">
        <v>194</v>
      </c>
      <c r="AM43" s="253"/>
      <c r="AN43" s="254"/>
      <c r="AO43" s="258" t="s">
        <v>219</v>
      </c>
      <c r="AP43" s="254"/>
      <c r="AQ43" s="254"/>
      <c r="AR43" s="254"/>
      <c r="AS43" s="255"/>
      <c r="AT43" s="232"/>
      <c r="AV43" s="232"/>
      <c r="AW43" s="256">
        <v>6</v>
      </c>
      <c r="AX43" s="247" t="s">
        <v>114</v>
      </c>
      <c r="AY43" s="262" t="s">
        <v>8</v>
      </c>
      <c r="AZ43" s="262"/>
      <c r="BA43" s="262"/>
      <c r="BB43" s="262"/>
      <c r="BC43" s="262"/>
      <c r="BD43" s="248"/>
      <c r="BE43" s="232"/>
    </row>
    <row r="44" spans="12:57" ht="12" x14ac:dyDescent="0.25">
      <c r="L44" s="232"/>
      <c r="M44" s="256">
        <v>3</v>
      </c>
      <c r="N44" s="262" t="s">
        <v>13</v>
      </c>
      <c r="O44" s="262" t="s">
        <v>1</v>
      </c>
      <c r="P44" s="262" t="s">
        <v>9</v>
      </c>
      <c r="Q44" s="262" t="s">
        <v>24</v>
      </c>
      <c r="R44" s="262" t="s">
        <v>25</v>
      </c>
      <c r="S44" s="262" t="s">
        <v>166</v>
      </c>
      <c r="T44" s="248"/>
      <c r="U44" s="232"/>
      <c r="AK44" s="232"/>
      <c r="AL44" s="256">
        <v>7</v>
      </c>
      <c r="AM44" s="247" t="s">
        <v>111</v>
      </c>
      <c r="AN44" s="262"/>
      <c r="AO44" s="262"/>
      <c r="AP44" s="262"/>
      <c r="AQ44" s="262"/>
      <c r="AR44" s="262"/>
      <c r="AS44" s="248"/>
      <c r="AT44" s="232"/>
      <c r="AV44" s="232"/>
      <c r="AW44" s="256">
        <v>5</v>
      </c>
      <c r="AX44" s="247" t="s">
        <v>147</v>
      </c>
      <c r="AY44" s="262" t="s">
        <v>15</v>
      </c>
      <c r="AZ44" s="262"/>
      <c r="BA44" s="262"/>
      <c r="BB44" s="262"/>
      <c r="BC44" s="262"/>
      <c r="BD44" s="248"/>
      <c r="BE44" s="232"/>
    </row>
    <row r="45" spans="12:57" ht="12" x14ac:dyDescent="0.25">
      <c r="L45" s="232"/>
      <c r="M45" s="256">
        <v>2</v>
      </c>
      <c r="N45" s="247" t="s">
        <v>19</v>
      </c>
      <c r="O45" s="262" t="s">
        <v>23</v>
      </c>
      <c r="P45" s="262" t="s">
        <v>14</v>
      </c>
      <c r="Q45" s="262" t="s">
        <v>43</v>
      </c>
      <c r="R45" s="262" t="s">
        <v>28</v>
      </c>
      <c r="S45" s="262" t="s">
        <v>40</v>
      </c>
      <c r="T45" s="248"/>
      <c r="U45" s="232"/>
      <c r="AK45" s="232"/>
      <c r="AL45" s="256">
        <v>6</v>
      </c>
      <c r="AM45" s="247" t="s">
        <v>114</v>
      </c>
      <c r="AN45" s="262" t="s">
        <v>8</v>
      </c>
      <c r="AO45" s="262"/>
      <c r="AP45" s="262"/>
      <c r="AQ45" s="262"/>
      <c r="AR45" s="262"/>
      <c r="AS45" s="248"/>
      <c r="AT45" s="232"/>
      <c r="AV45" s="232"/>
      <c r="AW45" s="256">
        <v>4</v>
      </c>
      <c r="AX45" s="247" t="s">
        <v>116</v>
      </c>
      <c r="AY45" s="262" t="s">
        <v>118</v>
      </c>
      <c r="AZ45" s="262" t="s">
        <v>41</v>
      </c>
      <c r="BA45" s="262"/>
      <c r="BB45" s="262"/>
      <c r="BC45" s="262"/>
      <c r="BD45" s="248"/>
      <c r="BE45" s="232"/>
    </row>
    <row r="46" spans="12:57" ht="12" x14ac:dyDescent="0.25">
      <c r="L46" s="232"/>
      <c r="M46" s="256">
        <v>1</v>
      </c>
      <c r="N46" s="247" t="s">
        <v>105</v>
      </c>
      <c r="O46" s="262" t="s">
        <v>214</v>
      </c>
      <c r="P46" s="262" t="s">
        <v>46</v>
      </c>
      <c r="Q46" s="262" t="s">
        <v>97</v>
      </c>
      <c r="R46" s="262" t="s">
        <v>76</v>
      </c>
      <c r="S46" s="262"/>
      <c r="T46" s="248"/>
      <c r="U46" s="232"/>
      <c r="AK46" s="232"/>
      <c r="AL46" s="256">
        <v>5</v>
      </c>
      <c r="AM46" s="247" t="s">
        <v>147</v>
      </c>
      <c r="AN46" s="262" t="s">
        <v>15</v>
      </c>
      <c r="AO46" s="262"/>
      <c r="AP46" s="262"/>
      <c r="AQ46" s="262"/>
      <c r="AR46" s="262"/>
      <c r="AS46" s="248"/>
      <c r="AT46" s="232"/>
      <c r="AV46" s="232"/>
      <c r="AW46" s="256">
        <v>3</v>
      </c>
      <c r="AX46" s="262" t="s">
        <v>13</v>
      </c>
      <c r="AY46" s="262" t="s">
        <v>1</v>
      </c>
      <c r="AZ46" s="262" t="s">
        <v>9</v>
      </c>
      <c r="BA46" s="262" t="s">
        <v>24</v>
      </c>
      <c r="BB46" s="262" t="s">
        <v>25</v>
      </c>
      <c r="BC46" s="262" t="s">
        <v>166</v>
      </c>
      <c r="BD46" s="248"/>
      <c r="BE46" s="232"/>
    </row>
    <row r="47" spans="12:57" ht="12" x14ac:dyDescent="0.25">
      <c r="L47" s="232"/>
      <c r="M47" s="257">
        <v>0</v>
      </c>
      <c r="N47" s="249" t="s">
        <v>48</v>
      </c>
      <c r="O47" s="250" t="s">
        <v>193</v>
      </c>
      <c r="P47" s="250" t="s">
        <v>29</v>
      </c>
      <c r="Q47" s="250" t="s">
        <v>37</v>
      </c>
      <c r="R47" s="250" t="s">
        <v>77</v>
      </c>
      <c r="S47" s="250"/>
      <c r="T47" s="251"/>
      <c r="U47" s="232"/>
      <c r="AK47" s="232"/>
      <c r="AL47" s="256">
        <v>4</v>
      </c>
      <c r="AM47" s="247" t="s">
        <v>116</v>
      </c>
      <c r="AN47" s="262" t="s">
        <v>118</v>
      </c>
      <c r="AO47" s="262" t="s">
        <v>41</v>
      </c>
      <c r="AP47" s="262"/>
      <c r="AQ47" s="262"/>
      <c r="AR47" s="262"/>
      <c r="AS47" s="248"/>
      <c r="AT47" s="232"/>
      <c r="AV47" s="232"/>
      <c r="AW47" s="256">
        <v>2</v>
      </c>
      <c r="AX47" s="247" t="s">
        <v>19</v>
      </c>
      <c r="AY47" s="262" t="s">
        <v>23</v>
      </c>
      <c r="AZ47" s="262" t="s">
        <v>14</v>
      </c>
      <c r="BA47" s="262" t="s">
        <v>43</v>
      </c>
      <c r="BB47" s="262" t="s">
        <v>28</v>
      </c>
      <c r="BC47" s="262" t="s">
        <v>40</v>
      </c>
      <c r="BD47" s="248"/>
      <c r="BE47" s="232"/>
    </row>
    <row r="48" spans="12:57" ht="12" x14ac:dyDescent="0.25">
      <c r="L48" s="232"/>
      <c r="M48" s="263" t="s">
        <v>224</v>
      </c>
      <c r="N48" s="264"/>
      <c r="O48" s="264"/>
      <c r="P48" s="264"/>
      <c r="Q48" s="264"/>
      <c r="R48" s="264"/>
      <c r="S48" s="264"/>
      <c r="T48" s="265"/>
      <c r="U48" s="232"/>
      <c r="AK48" s="232"/>
      <c r="AL48" s="256">
        <v>3</v>
      </c>
      <c r="AM48" s="262" t="s">
        <v>13</v>
      </c>
      <c r="AN48" s="262" t="s">
        <v>1</v>
      </c>
      <c r="AO48" s="262" t="s">
        <v>9</v>
      </c>
      <c r="AP48" s="262" t="s">
        <v>24</v>
      </c>
      <c r="AQ48" s="262" t="s">
        <v>25</v>
      </c>
      <c r="AR48" s="262" t="s">
        <v>166</v>
      </c>
      <c r="AS48" s="248"/>
      <c r="AT48" s="232"/>
      <c r="AV48" s="232"/>
      <c r="AW48" s="256">
        <v>1</v>
      </c>
      <c r="AX48" s="247" t="s">
        <v>105</v>
      </c>
      <c r="AY48" s="262" t="s">
        <v>214</v>
      </c>
      <c r="AZ48" s="262" t="s">
        <v>46</v>
      </c>
      <c r="BA48" s="262" t="s">
        <v>97</v>
      </c>
      <c r="BB48" s="262" t="s">
        <v>76</v>
      </c>
      <c r="BC48" s="262"/>
      <c r="BD48" s="248"/>
      <c r="BE48" s="232"/>
    </row>
    <row r="49" spans="12:57" ht="12" x14ac:dyDescent="0.25">
      <c r="L49" s="232"/>
      <c r="M49" s="266" t="s">
        <v>267</v>
      </c>
      <c r="N49" s="267"/>
      <c r="O49" s="267"/>
      <c r="P49" s="267"/>
      <c r="Q49" s="267"/>
      <c r="R49" s="267"/>
      <c r="S49" s="267"/>
      <c r="T49" s="268"/>
      <c r="U49" s="232"/>
      <c r="AK49" s="232"/>
      <c r="AL49" s="256">
        <v>2</v>
      </c>
      <c r="AM49" s="247" t="s">
        <v>19</v>
      </c>
      <c r="AN49" s="262" t="s">
        <v>23</v>
      </c>
      <c r="AO49" s="262" t="s">
        <v>14</v>
      </c>
      <c r="AP49" s="262" t="s">
        <v>43</v>
      </c>
      <c r="AQ49" s="262" t="s">
        <v>28</v>
      </c>
      <c r="AR49" s="262" t="s">
        <v>40</v>
      </c>
      <c r="AS49" s="248"/>
      <c r="AT49" s="232"/>
      <c r="AV49" s="232"/>
      <c r="AW49" s="257">
        <v>0</v>
      </c>
      <c r="AX49" s="249" t="s">
        <v>48</v>
      </c>
      <c r="AY49" s="250" t="s">
        <v>193</v>
      </c>
      <c r="AZ49" s="250" t="s">
        <v>29</v>
      </c>
      <c r="BA49" s="250" t="s">
        <v>37</v>
      </c>
      <c r="BB49" s="250" t="s">
        <v>77</v>
      </c>
      <c r="BC49" s="250"/>
      <c r="BD49" s="251"/>
      <c r="BE49" s="232"/>
    </row>
    <row r="50" spans="12:57" ht="12" x14ac:dyDescent="0.25">
      <c r="L50" s="232"/>
      <c r="M50" s="232"/>
      <c r="N50" s="232"/>
      <c r="O50" s="232"/>
      <c r="P50" s="232"/>
      <c r="Q50" s="232"/>
      <c r="R50" s="232"/>
      <c r="S50" s="232"/>
      <c r="T50" s="232"/>
      <c r="U50" s="232"/>
      <c r="AK50" s="232"/>
      <c r="AL50" s="256">
        <v>1</v>
      </c>
      <c r="AM50" s="247" t="s">
        <v>105</v>
      </c>
      <c r="AN50" s="262" t="s">
        <v>214</v>
      </c>
      <c r="AO50" s="262" t="s">
        <v>46</v>
      </c>
      <c r="AP50" s="262" t="s">
        <v>97</v>
      </c>
      <c r="AQ50" s="262" t="s">
        <v>76</v>
      </c>
      <c r="AR50" s="262"/>
      <c r="AS50" s="248"/>
      <c r="AT50" s="232"/>
      <c r="AV50" s="232"/>
      <c r="AW50" s="263" t="s">
        <v>224</v>
      </c>
      <c r="AX50" s="264"/>
      <c r="AY50" s="264"/>
      <c r="AZ50" s="264"/>
      <c r="BA50" s="264"/>
      <c r="BB50" s="264"/>
      <c r="BC50" s="264"/>
      <c r="BD50" s="265"/>
      <c r="BE50" s="232"/>
    </row>
    <row r="51" spans="12:57" ht="12" x14ac:dyDescent="0.25">
      <c r="AK51" s="232"/>
      <c r="AL51" s="257">
        <v>0</v>
      </c>
      <c r="AM51" s="249" t="s">
        <v>48</v>
      </c>
      <c r="AN51" s="250" t="s">
        <v>193</v>
      </c>
      <c r="AO51" s="250" t="s">
        <v>29</v>
      </c>
      <c r="AP51" s="250" t="s">
        <v>37</v>
      </c>
      <c r="AQ51" s="250" t="s">
        <v>77</v>
      </c>
      <c r="AR51" s="250"/>
      <c r="AS51" s="251"/>
      <c r="AT51" s="232"/>
      <c r="AV51" s="232"/>
      <c r="AW51" s="266" t="s">
        <v>267</v>
      </c>
      <c r="AX51" s="267"/>
      <c r="AY51" s="267"/>
      <c r="AZ51" s="267"/>
      <c r="BA51" s="267"/>
      <c r="BB51" s="267"/>
      <c r="BC51" s="267"/>
      <c r="BD51" s="268"/>
      <c r="BE51" s="232"/>
    </row>
    <row r="52" spans="12:57" ht="12" x14ac:dyDescent="0.25">
      <c r="AK52" s="232"/>
      <c r="AL52" s="263" t="s">
        <v>224</v>
      </c>
      <c r="AM52" s="264"/>
      <c r="AN52" s="264"/>
      <c r="AO52" s="264"/>
      <c r="AP52" s="264"/>
      <c r="AQ52" s="264"/>
      <c r="AR52" s="264"/>
      <c r="AS52" s="265"/>
      <c r="AT52" s="232"/>
      <c r="AV52" s="232"/>
      <c r="AW52" s="232"/>
      <c r="AX52" s="232"/>
      <c r="AY52" s="232"/>
      <c r="AZ52" s="232"/>
      <c r="BA52" s="232"/>
      <c r="BB52" s="232"/>
      <c r="BC52" s="232"/>
      <c r="BD52" s="232"/>
      <c r="BE52" s="232"/>
    </row>
    <row r="53" spans="12:57" ht="12" x14ac:dyDescent="0.25">
      <c r="AK53" s="232"/>
      <c r="AL53" s="266" t="s">
        <v>267</v>
      </c>
      <c r="AM53" s="267"/>
      <c r="AN53" s="267"/>
      <c r="AO53" s="267"/>
      <c r="AP53" s="267"/>
      <c r="AQ53" s="267"/>
      <c r="AR53" s="267"/>
      <c r="AS53" s="268"/>
      <c r="AT53" s="232"/>
      <c r="AV53" s="270"/>
    </row>
    <row r="54" spans="12:57" x14ac:dyDescent="0.2">
      <c r="AK54" s="232"/>
      <c r="AL54" s="232"/>
      <c r="AM54" s="232"/>
      <c r="AN54" s="232"/>
      <c r="AO54" s="232"/>
      <c r="AP54" s="232"/>
      <c r="AQ54" s="232"/>
      <c r="AR54" s="232"/>
      <c r="AS54" s="232"/>
      <c r="AT54" s="232"/>
    </row>
    <row r="55" spans="12:57" x14ac:dyDescent="0.2">
      <c r="AK55" s="270"/>
    </row>
  </sheetData>
  <mergeCells count="3">
    <mergeCell ref="AK28:AK39"/>
    <mergeCell ref="AV26:AV37"/>
    <mergeCell ref="L24:L35"/>
  </mergeCells>
  <phoneticPr fontId="2" type="noConversion"/>
  <hyperlinks>
    <hyperlink ref="F14" r:id="rId1" xr:uid="{77328DE1-F703-4988-89CF-D46FEB846AFC}"/>
    <hyperlink ref="F14:J14" r:id="rId2" display="http://www.me.gatech.edu/files/ug/fallhints.pdf" xr:uid="{7232F036-C910-4364-BF18-EF90BE0831B0}"/>
    <hyperlink ref="AP8" r:id="rId3" xr:uid="{DB5C7922-C0AE-4D29-AA3F-ED1CAA7F64BD}"/>
    <hyperlink ref="AP8:AT8" r:id="rId4" display="http://www.me.gatech.edu/files/ug/fallhints.pdf" xr:uid="{5994731A-8ACF-45EC-B999-F05FAED56E5D}"/>
  </hyperlinks>
  <pageMargins left="0.7" right="0.7" top="0.75" bottom="0.75" header="0.3" footer="0.3"/>
  <pageSetup orientation="portrait" horizontalDpi="300" verticalDpi="300" r:id="rId5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111C2-8D5F-4E24-839D-BC46D3F44570}">
  <sheetPr codeName="Sheet59"/>
  <dimension ref="A1:L70"/>
  <sheetViews>
    <sheetView topLeftCell="A13" workbookViewId="0">
      <selection activeCell="E36" sqref="E36"/>
    </sheetView>
  </sheetViews>
  <sheetFormatPr defaultRowHeight="13.2" x14ac:dyDescent="0.25"/>
  <cols>
    <col min="1" max="1" width="9.44140625" style="227" bestFit="1" customWidth="1"/>
    <col min="2" max="2" width="6.6640625" style="227" bestFit="1" customWidth="1"/>
    <col min="3" max="12" width="4.109375" customWidth="1"/>
  </cols>
  <sheetData>
    <row r="1" spans="1:12" x14ac:dyDescent="0.25">
      <c r="A1" s="227" t="s">
        <v>198</v>
      </c>
      <c r="B1" s="227" t="s">
        <v>197</v>
      </c>
      <c r="C1" s="294" t="s">
        <v>275</v>
      </c>
    </row>
    <row r="2" spans="1:12" x14ac:dyDescent="0.25">
      <c r="A2" s="244" t="s">
        <v>1</v>
      </c>
      <c r="B2" s="227">
        <v>1</v>
      </c>
      <c r="C2" s="296">
        <v>0</v>
      </c>
      <c r="D2" s="296">
        <v>0</v>
      </c>
      <c r="E2" s="296">
        <v>0</v>
      </c>
      <c r="F2" s="296">
        <v>0</v>
      </c>
      <c r="G2" s="296">
        <v>0</v>
      </c>
      <c r="H2" s="296">
        <v>0</v>
      </c>
      <c r="I2" s="296">
        <v>0</v>
      </c>
      <c r="J2" s="295">
        <v>0</v>
      </c>
      <c r="K2" s="295">
        <v>0</v>
      </c>
      <c r="L2" s="295">
        <v>0</v>
      </c>
    </row>
    <row r="3" spans="1:12" x14ac:dyDescent="0.25">
      <c r="A3" s="244" t="s">
        <v>111</v>
      </c>
      <c r="B3" s="227">
        <v>2</v>
      </c>
      <c r="C3" s="296">
        <v>0</v>
      </c>
      <c r="D3" s="296">
        <v>0</v>
      </c>
      <c r="E3" s="296">
        <v>0</v>
      </c>
      <c r="F3" s="296">
        <v>0</v>
      </c>
      <c r="G3" s="296">
        <v>0</v>
      </c>
      <c r="H3" s="296">
        <v>0</v>
      </c>
      <c r="I3" s="296">
        <v>0</v>
      </c>
      <c r="J3" s="295">
        <v>0</v>
      </c>
      <c r="K3" s="295">
        <v>0</v>
      </c>
      <c r="L3" s="295">
        <v>0</v>
      </c>
    </row>
    <row r="4" spans="1:12" x14ac:dyDescent="0.25">
      <c r="A4" s="244" t="s">
        <v>147</v>
      </c>
      <c r="B4" s="227">
        <v>3</v>
      </c>
      <c r="C4" s="296">
        <v>0</v>
      </c>
      <c r="D4" s="296">
        <v>0</v>
      </c>
      <c r="E4" s="296">
        <v>0</v>
      </c>
      <c r="F4" s="296">
        <v>0</v>
      </c>
      <c r="G4" s="296">
        <v>0</v>
      </c>
      <c r="H4" s="296">
        <v>0</v>
      </c>
      <c r="I4" s="296">
        <v>0</v>
      </c>
      <c r="J4" s="295">
        <v>0</v>
      </c>
      <c r="K4" s="295">
        <v>0</v>
      </c>
      <c r="L4" s="295">
        <v>0</v>
      </c>
    </row>
    <row r="5" spans="1:12" x14ac:dyDescent="0.25">
      <c r="A5" s="244" t="s">
        <v>136</v>
      </c>
      <c r="B5" s="227">
        <v>4</v>
      </c>
      <c r="C5" s="296">
        <v>0</v>
      </c>
      <c r="D5" s="296">
        <v>0</v>
      </c>
      <c r="E5" s="296">
        <v>0</v>
      </c>
      <c r="F5" s="296">
        <v>0</v>
      </c>
      <c r="G5" s="296">
        <v>0</v>
      </c>
      <c r="H5" s="296">
        <v>0</v>
      </c>
      <c r="I5" s="296">
        <v>0</v>
      </c>
      <c r="J5" s="295">
        <v>0</v>
      </c>
      <c r="K5" s="295">
        <v>0</v>
      </c>
      <c r="L5" s="295">
        <v>0</v>
      </c>
    </row>
    <row r="6" spans="1:12" x14ac:dyDescent="0.25">
      <c r="A6" s="244" t="s">
        <v>2</v>
      </c>
      <c r="B6" s="227">
        <v>5</v>
      </c>
      <c r="C6" s="296">
        <v>0</v>
      </c>
      <c r="D6" s="296">
        <v>0</v>
      </c>
      <c r="E6" s="296">
        <v>0</v>
      </c>
      <c r="F6" s="296">
        <v>0</v>
      </c>
      <c r="G6" s="296">
        <v>0</v>
      </c>
      <c r="H6" s="296">
        <v>0</v>
      </c>
      <c r="I6" s="296">
        <v>0</v>
      </c>
      <c r="J6" s="295">
        <v>0</v>
      </c>
      <c r="K6" s="295">
        <v>0</v>
      </c>
      <c r="L6" s="295">
        <v>0</v>
      </c>
    </row>
    <row r="7" spans="1:12" x14ac:dyDescent="0.25">
      <c r="A7" s="244" t="s">
        <v>8</v>
      </c>
      <c r="B7" s="227">
        <v>6</v>
      </c>
      <c r="C7" s="296">
        <v>2</v>
      </c>
      <c r="D7" s="296">
        <v>0</v>
      </c>
      <c r="E7" s="296">
        <v>0</v>
      </c>
      <c r="F7" s="296">
        <v>0</v>
      </c>
      <c r="G7" s="296">
        <v>0</v>
      </c>
      <c r="H7" s="296">
        <v>0</v>
      </c>
      <c r="I7" s="296">
        <v>0</v>
      </c>
      <c r="J7" s="295">
        <v>7</v>
      </c>
      <c r="K7" s="295">
        <v>0</v>
      </c>
      <c r="L7" s="295">
        <v>0</v>
      </c>
    </row>
    <row r="8" spans="1:12" x14ac:dyDescent="0.25">
      <c r="A8" s="244" t="s">
        <v>114</v>
      </c>
      <c r="B8" s="227">
        <v>7</v>
      </c>
      <c r="C8" s="296">
        <v>2</v>
      </c>
      <c r="D8" s="296">
        <v>0</v>
      </c>
      <c r="E8" s="296">
        <v>0</v>
      </c>
      <c r="F8" s="296">
        <v>0</v>
      </c>
      <c r="G8" s="296">
        <v>0</v>
      </c>
      <c r="H8" s="296">
        <v>0</v>
      </c>
      <c r="I8" s="296">
        <v>0</v>
      </c>
      <c r="J8" s="295">
        <v>0</v>
      </c>
      <c r="K8" s="295">
        <v>0</v>
      </c>
      <c r="L8" s="295">
        <v>0</v>
      </c>
    </row>
    <row r="9" spans="1:12" x14ac:dyDescent="0.25">
      <c r="A9" s="244" t="s">
        <v>9</v>
      </c>
      <c r="B9" s="227">
        <v>8</v>
      </c>
      <c r="C9" s="296">
        <v>0</v>
      </c>
      <c r="D9" s="296">
        <v>0</v>
      </c>
      <c r="E9" s="296">
        <v>0</v>
      </c>
      <c r="F9" s="296">
        <v>0</v>
      </c>
      <c r="G9" s="296">
        <v>0</v>
      </c>
      <c r="H9" s="296">
        <v>0</v>
      </c>
      <c r="I9" s="296">
        <v>0</v>
      </c>
      <c r="J9" s="295">
        <v>0</v>
      </c>
      <c r="K9" s="295">
        <v>0</v>
      </c>
      <c r="L9" s="295">
        <v>0</v>
      </c>
    </row>
    <row r="10" spans="1:12" x14ac:dyDescent="0.25">
      <c r="A10" s="244" t="s">
        <v>166</v>
      </c>
      <c r="B10" s="227">
        <v>9</v>
      </c>
      <c r="C10" s="296">
        <v>0</v>
      </c>
      <c r="D10" s="296">
        <v>0</v>
      </c>
      <c r="E10" s="296">
        <v>0</v>
      </c>
      <c r="F10" s="296">
        <v>0</v>
      </c>
      <c r="G10" s="296">
        <v>0</v>
      </c>
      <c r="H10" s="296">
        <v>0</v>
      </c>
      <c r="I10" s="296">
        <v>0</v>
      </c>
      <c r="J10" s="295">
        <v>0</v>
      </c>
      <c r="K10" s="295">
        <v>0</v>
      </c>
      <c r="L10" s="295">
        <v>0</v>
      </c>
    </row>
    <row r="11" spans="1:12" x14ac:dyDescent="0.25">
      <c r="A11" s="244" t="s">
        <v>10</v>
      </c>
      <c r="B11" s="227">
        <v>10</v>
      </c>
      <c r="C11" s="296">
        <v>5</v>
      </c>
      <c r="D11" s="296">
        <v>0</v>
      </c>
      <c r="E11" s="296">
        <v>0</v>
      </c>
      <c r="F11" s="296">
        <v>0</v>
      </c>
      <c r="G11" s="296">
        <v>0</v>
      </c>
      <c r="H11" s="296">
        <v>0</v>
      </c>
      <c r="I11" s="296">
        <v>0</v>
      </c>
      <c r="J11" s="295">
        <v>0</v>
      </c>
      <c r="K11" s="295">
        <v>0</v>
      </c>
      <c r="L11" s="295">
        <v>0</v>
      </c>
    </row>
    <row r="12" spans="1:12" x14ac:dyDescent="0.25">
      <c r="A12" s="244" t="s">
        <v>13</v>
      </c>
      <c r="B12" s="227">
        <v>11</v>
      </c>
      <c r="C12" s="296">
        <v>6</v>
      </c>
      <c r="D12" s="296">
        <v>0</v>
      </c>
      <c r="E12" s="296">
        <v>0</v>
      </c>
      <c r="F12" s="296">
        <v>0</v>
      </c>
      <c r="G12" s="296">
        <v>0</v>
      </c>
      <c r="H12" s="296">
        <v>0</v>
      </c>
      <c r="I12" s="296">
        <v>0</v>
      </c>
      <c r="J12" s="295">
        <v>0</v>
      </c>
      <c r="K12" s="295">
        <v>0</v>
      </c>
      <c r="L12" s="295">
        <v>0</v>
      </c>
    </row>
    <row r="13" spans="1:12" x14ac:dyDescent="0.25">
      <c r="A13" s="244" t="s">
        <v>116</v>
      </c>
      <c r="B13" s="227">
        <v>12</v>
      </c>
      <c r="C13" s="296">
        <v>7</v>
      </c>
      <c r="D13" s="296">
        <v>3</v>
      </c>
      <c r="E13" s="296">
        <v>0</v>
      </c>
      <c r="F13" s="296">
        <v>0</v>
      </c>
      <c r="G13" s="296">
        <v>0</v>
      </c>
      <c r="H13" s="296">
        <v>0</v>
      </c>
      <c r="I13" s="296">
        <v>0</v>
      </c>
      <c r="J13" s="295">
        <v>0</v>
      </c>
      <c r="K13" s="295">
        <v>0</v>
      </c>
      <c r="L13" s="295">
        <v>0</v>
      </c>
    </row>
    <row r="14" spans="1:12" x14ac:dyDescent="0.25">
      <c r="A14" s="244" t="s">
        <v>43</v>
      </c>
      <c r="B14" s="227">
        <v>13</v>
      </c>
      <c r="C14" s="296">
        <v>9</v>
      </c>
      <c r="D14" s="296">
        <v>0</v>
      </c>
      <c r="E14" s="296">
        <v>0</v>
      </c>
      <c r="F14" s="296">
        <v>0</v>
      </c>
      <c r="G14" s="296">
        <v>0</v>
      </c>
      <c r="H14" s="296">
        <v>0</v>
      </c>
      <c r="I14" s="296">
        <v>0</v>
      </c>
      <c r="J14" s="295">
        <v>15</v>
      </c>
      <c r="K14" s="295">
        <v>0</v>
      </c>
      <c r="L14" s="295">
        <v>0</v>
      </c>
    </row>
    <row r="15" spans="1:12" x14ac:dyDescent="0.25">
      <c r="A15" s="244" t="s">
        <v>14</v>
      </c>
      <c r="B15" s="227">
        <v>14</v>
      </c>
      <c r="C15" s="296">
        <v>1</v>
      </c>
      <c r="D15" s="296">
        <v>0</v>
      </c>
      <c r="E15" s="296">
        <v>0</v>
      </c>
      <c r="F15" s="296">
        <v>0</v>
      </c>
      <c r="G15" s="296">
        <v>0</v>
      </c>
      <c r="H15" s="296">
        <v>0</v>
      </c>
      <c r="I15" s="296">
        <v>0</v>
      </c>
      <c r="J15" s="295">
        <v>0</v>
      </c>
      <c r="K15" s="295">
        <v>0</v>
      </c>
      <c r="L15" s="295">
        <v>0</v>
      </c>
    </row>
    <row r="16" spans="1:12" x14ac:dyDescent="0.25">
      <c r="A16" s="244" t="s">
        <v>15</v>
      </c>
      <c r="B16" s="227">
        <v>15</v>
      </c>
      <c r="C16" s="296">
        <v>7</v>
      </c>
      <c r="D16" s="296">
        <v>6</v>
      </c>
      <c r="E16" s="296">
        <v>0</v>
      </c>
      <c r="F16" s="296">
        <v>0</v>
      </c>
      <c r="G16" s="296">
        <v>0</v>
      </c>
      <c r="H16" s="296">
        <v>0</v>
      </c>
      <c r="I16" s="296">
        <v>0</v>
      </c>
      <c r="J16" s="295">
        <v>0</v>
      </c>
      <c r="K16" s="295">
        <v>0</v>
      </c>
      <c r="L16" s="295">
        <v>0</v>
      </c>
    </row>
    <row r="17" spans="1:12" x14ac:dyDescent="0.25">
      <c r="A17" s="244" t="s">
        <v>19</v>
      </c>
      <c r="B17" s="227">
        <v>16</v>
      </c>
      <c r="C17" s="296">
        <v>11</v>
      </c>
      <c r="D17" s="296">
        <v>0</v>
      </c>
      <c r="E17" s="296">
        <v>0</v>
      </c>
      <c r="F17" s="296">
        <v>0</v>
      </c>
      <c r="G17" s="296">
        <v>0</v>
      </c>
      <c r="H17" s="296">
        <v>0</v>
      </c>
      <c r="I17" s="296">
        <v>0</v>
      </c>
      <c r="J17" s="295">
        <v>0</v>
      </c>
      <c r="K17" s="295">
        <v>0</v>
      </c>
      <c r="L17" s="295">
        <v>0</v>
      </c>
    </row>
    <row r="18" spans="1:12" x14ac:dyDescent="0.25">
      <c r="A18" s="244" t="s">
        <v>118</v>
      </c>
      <c r="B18" s="227">
        <v>17</v>
      </c>
      <c r="C18" s="296">
        <v>7</v>
      </c>
      <c r="D18" s="296">
        <v>3</v>
      </c>
      <c r="E18" s="296">
        <v>0</v>
      </c>
      <c r="F18" s="296">
        <v>0</v>
      </c>
      <c r="G18" s="296">
        <v>0</v>
      </c>
      <c r="H18" s="296">
        <v>0</v>
      </c>
      <c r="I18" s="296">
        <v>0</v>
      </c>
      <c r="J18" s="295">
        <v>0</v>
      </c>
      <c r="K18" s="295">
        <v>0</v>
      </c>
      <c r="L18" s="295">
        <v>0</v>
      </c>
    </row>
    <row r="19" spans="1:12" x14ac:dyDescent="0.25">
      <c r="A19" s="244" t="s">
        <v>40</v>
      </c>
      <c r="B19" s="227">
        <v>18</v>
      </c>
      <c r="C19" s="296">
        <v>7</v>
      </c>
      <c r="D19" s="296">
        <v>3</v>
      </c>
      <c r="E19" s="296">
        <v>8</v>
      </c>
      <c r="F19" s="296">
        <v>0</v>
      </c>
      <c r="G19" s="296">
        <v>0</v>
      </c>
      <c r="H19" s="296">
        <v>0</v>
      </c>
      <c r="I19" s="296">
        <v>0</v>
      </c>
      <c r="J19" s="295">
        <v>17</v>
      </c>
      <c r="K19" s="295">
        <v>0</v>
      </c>
      <c r="L19" s="295">
        <v>0</v>
      </c>
    </row>
    <row r="20" spans="1:12" x14ac:dyDescent="0.25">
      <c r="A20" s="244" t="s">
        <v>41</v>
      </c>
      <c r="B20" s="227">
        <v>19</v>
      </c>
      <c r="C20" s="296">
        <v>15</v>
      </c>
      <c r="D20" s="296">
        <v>0</v>
      </c>
      <c r="E20" s="296">
        <v>0</v>
      </c>
      <c r="F20" s="296">
        <v>0</v>
      </c>
      <c r="G20" s="296">
        <v>0</v>
      </c>
      <c r="H20" s="296">
        <v>0</v>
      </c>
      <c r="I20" s="296">
        <v>0</v>
      </c>
      <c r="J20" s="295">
        <v>3</v>
      </c>
      <c r="K20" s="295">
        <v>0</v>
      </c>
      <c r="L20" s="295">
        <v>0</v>
      </c>
    </row>
    <row r="21" spans="1:12" x14ac:dyDescent="0.25">
      <c r="A21" s="244" t="s">
        <v>276</v>
      </c>
      <c r="B21" s="227">
        <v>20</v>
      </c>
      <c r="C21" s="296">
        <v>0</v>
      </c>
      <c r="D21" s="296">
        <v>0</v>
      </c>
      <c r="E21" s="296">
        <v>0</v>
      </c>
      <c r="F21" s="296">
        <v>0</v>
      </c>
      <c r="G21" s="296">
        <v>0</v>
      </c>
      <c r="H21" s="296">
        <v>0</v>
      </c>
      <c r="I21" s="296">
        <v>0</v>
      </c>
      <c r="J21" s="295">
        <v>0</v>
      </c>
      <c r="K21" s="295">
        <v>0</v>
      </c>
      <c r="L21" s="295">
        <v>0</v>
      </c>
    </row>
    <row r="22" spans="1:12" x14ac:dyDescent="0.25">
      <c r="A22" s="244" t="s">
        <v>37</v>
      </c>
      <c r="B22" s="227">
        <v>21</v>
      </c>
      <c r="C22" s="296">
        <v>16</v>
      </c>
      <c r="D22" s="296">
        <v>0</v>
      </c>
      <c r="E22" s="296">
        <v>0</v>
      </c>
      <c r="F22" s="296">
        <v>0</v>
      </c>
      <c r="G22" s="296">
        <v>0</v>
      </c>
      <c r="H22" s="296">
        <v>0</v>
      </c>
      <c r="I22" s="296">
        <v>0</v>
      </c>
      <c r="J22" s="295">
        <v>0</v>
      </c>
      <c r="K22" s="295">
        <v>0</v>
      </c>
      <c r="L22" s="295">
        <v>0</v>
      </c>
    </row>
    <row r="23" spans="1:12" x14ac:dyDescent="0.25">
      <c r="A23" s="244" t="s">
        <v>23</v>
      </c>
      <c r="B23" s="227">
        <v>22</v>
      </c>
      <c r="C23" s="296">
        <v>15</v>
      </c>
      <c r="D23" s="296">
        <v>0</v>
      </c>
      <c r="E23" s="296">
        <v>0</v>
      </c>
      <c r="F23" s="296">
        <v>0</v>
      </c>
      <c r="G23" s="296">
        <v>0</v>
      </c>
      <c r="H23" s="296">
        <v>0</v>
      </c>
      <c r="I23" s="296">
        <v>0</v>
      </c>
      <c r="J23" s="295">
        <v>17</v>
      </c>
      <c r="K23" s="295">
        <v>0</v>
      </c>
      <c r="L23" s="295">
        <v>0</v>
      </c>
    </row>
    <row r="24" spans="1:12" x14ac:dyDescent="0.25">
      <c r="A24" s="244" t="s">
        <v>24</v>
      </c>
      <c r="B24" s="227">
        <v>23</v>
      </c>
      <c r="C24" s="296">
        <v>6</v>
      </c>
      <c r="D24" s="296">
        <v>17</v>
      </c>
      <c r="E24" s="296">
        <v>0</v>
      </c>
      <c r="F24" s="296">
        <v>0</v>
      </c>
      <c r="G24" s="296">
        <v>0</v>
      </c>
      <c r="H24" s="296">
        <v>0</v>
      </c>
      <c r="I24" s="296">
        <v>0</v>
      </c>
      <c r="J24" s="295">
        <v>0</v>
      </c>
      <c r="K24" s="295">
        <v>0</v>
      </c>
      <c r="L24" s="295">
        <v>0</v>
      </c>
    </row>
    <row r="25" spans="1:12" x14ac:dyDescent="0.25">
      <c r="A25" s="244" t="s">
        <v>25</v>
      </c>
      <c r="B25" s="227">
        <v>24</v>
      </c>
      <c r="C25" s="296">
        <v>19</v>
      </c>
      <c r="D25" s="296">
        <v>12</v>
      </c>
      <c r="E25" s="296">
        <v>17</v>
      </c>
      <c r="F25" s="296">
        <v>0</v>
      </c>
      <c r="G25" s="296">
        <v>0</v>
      </c>
      <c r="H25" s="296">
        <v>0</v>
      </c>
      <c r="I25" s="296">
        <v>0</v>
      </c>
      <c r="J25" s="295">
        <v>23</v>
      </c>
      <c r="K25" s="295">
        <v>0</v>
      </c>
      <c r="L25" s="295">
        <v>0</v>
      </c>
    </row>
    <row r="26" spans="1:12" x14ac:dyDescent="0.25">
      <c r="A26" s="244" t="s">
        <v>165</v>
      </c>
      <c r="B26" s="227">
        <v>25</v>
      </c>
      <c r="C26" s="296">
        <v>0</v>
      </c>
      <c r="D26" s="296">
        <v>0</v>
      </c>
      <c r="E26" s="296">
        <v>0</v>
      </c>
      <c r="F26" s="296">
        <v>0</v>
      </c>
      <c r="G26" s="296">
        <v>0</v>
      </c>
      <c r="H26" s="296">
        <v>0</v>
      </c>
      <c r="I26" s="296">
        <v>0</v>
      </c>
      <c r="J26" s="295">
        <v>0</v>
      </c>
      <c r="K26" s="295">
        <v>0</v>
      </c>
      <c r="L26" s="295">
        <v>0</v>
      </c>
    </row>
    <row r="27" spans="1:12" x14ac:dyDescent="0.25">
      <c r="A27" s="244" t="s">
        <v>271</v>
      </c>
      <c r="B27" s="227">
        <v>26</v>
      </c>
      <c r="C27" s="296">
        <v>0</v>
      </c>
      <c r="D27" s="296">
        <v>0</v>
      </c>
      <c r="E27" s="296">
        <v>0</v>
      </c>
      <c r="F27" s="296">
        <v>0</v>
      </c>
      <c r="G27" s="296">
        <v>0</v>
      </c>
      <c r="H27" s="296">
        <v>0</v>
      </c>
      <c r="I27" s="296">
        <v>0</v>
      </c>
      <c r="J27" s="295">
        <v>0</v>
      </c>
      <c r="K27" s="295">
        <v>0</v>
      </c>
      <c r="L27" s="295">
        <v>0</v>
      </c>
    </row>
    <row r="28" spans="1:12" x14ac:dyDescent="0.25">
      <c r="A28" s="244" t="s">
        <v>76</v>
      </c>
      <c r="B28" s="227">
        <v>27</v>
      </c>
      <c r="C28" s="296">
        <v>19</v>
      </c>
      <c r="D28" s="296">
        <v>18</v>
      </c>
      <c r="E28" s="296">
        <v>16</v>
      </c>
      <c r="F28" s="296">
        <v>17</v>
      </c>
      <c r="G28" s="296">
        <v>0</v>
      </c>
      <c r="H28" s="296">
        <v>0</v>
      </c>
      <c r="I28" s="296">
        <v>0</v>
      </c>
      <c r="J28" s="295">
        <v>0</v>
      </c>
      <c r="K28" s="295">
        <v>0</v>
      </c>
      <c r="L28" s="295">
        <v>0</v>
      </c>
    </row>
    <row r="29" spans="1:12" x14ac:dyDescent="0.25">
      <c r="A29" s="244" t="s">
        <v>28</v>
      </c>
      <c r="B29" s="227">
        <v>28</v>
      </c>
      <c r="C29" s="296">
        <v>23</v>
      </c>
      <c r="D29" s="296">
        <v>24</v>
      </c>
      <c r="E29" s="296">
        <v>17</v>
      </c>
      <c r="F29" s="296">
        <v>0</v>
      </c>
      <c r="G29" s="296">
        <v>0</v>
      </c>
      <c r="H29" s="296">
        <v>0</v>
      </c>
      <c r="I29" s="296">
        <v>0</v>
      </c>
      <c r="J29" s="295">
        <v>0</v>
      </c>
      <c r="K29" s="295">
        <v>0</v>
      </c>
      <c r="L29" s="295">
        <v>0</v>
      </c>
    </row>
    <row r="30" spans="1:12" x14ac:dyDescent="0.25">
      <c r="A30" s="244" t="s">
        <v>46</v>
      </c>
      <c r="B30" s="227">
        <v>29</v>
      </c>
      <c r="C30" s="296">
        <v>22</v>
      </c>
      <c r="D30" s="296">
        <v>24</v>
      </c>
      <c r="E30" s="296">
        <v>0</v>
      </c>
      <c r="F30" s="296">
        <v>0</v>
      </c>
      <c r="G30" s="296">
        <v>0</v>
      </c>
      <c r="H30" s="296">
        <v>0</v>
      </c>
      <c r="I30" s="296">
        <v>0</v>
      </c>
      <c r="J30" s="295">
        <v>27</v>
      </c>
      <c r="K30" s="295">
        <v>28</v>
      </c>
      <c r="L30" s="295">
        <v>31</v>
      </c>
    </row>
    <row r="31" spans="1:12" x14ac:dyDescent="0.25">
      <c r="A31" s="244" t="s">
        <v>29</v>
      </c>
      <c r="B31" s="227">
        <v>30</v>
      </c>
      <c r="C31" s="296">
        <v>25</v>
      </c>
      <c r="D31" s="296">
        <v>0</v>
      </c>
      <c r="E31" s="296">
        <v>0</v>
      </c>
      <c r="F31" s="296">
        <v>0</v>
      </c>
      <c r="G31" s="296">
        <v>0</v>
      </c>
      <c r="H31" s="296">
        <v>0</v>
      </c>
      <c r="I31" s="296">
        <v>0</v>
      </c>
      <c r="J31" s="295">
        <v>0</v>
      </c>
      <c r="K31" s="295">
        <v>0</v>
      </c>
      <c r="L31" s="295">
        <v>0</v>
      </c>
    </row>
    <row r="32" spans="1:12" x14ac:dyDescent="0.25">
      <c r="A32" s="244" t="s">
        <v>105</v>
      </c>
      <c r="B32" s="227">
        <v>31</v>
      </c>
      <c r="C32" s="296">
        <v>12</v>
      </c>
      <c r="D32" s="296">
        <v>0</v>
      </c>
      <c r="E32" s="296">
        <v>0</v>
      </c>
      <c r="F32" s="296">
        <v>0</v>
      </c>
      <c r="G32" s="296">
        <v>0</v>
      </c>
      <c r="H32" s="296">
        <v>0</v>
      </c>
      <c r="I32" s="296">
        <v>0</v>
      </c>
      <c r="J32" s="295">
        <v>0</v>
      </c>
      <c r="K32" s="295">
        <v>0</v>
      </c>
      <c r="L32" s="295">
        <v>0</v>
      </c>
    </row>
    <row r="33" spans="1:12" x14ac:dyDescent="0.25">
      <c r="A33" s="244" t="s">
        <v>276</v>
      </c>
      <c r="B33" s="227">
        <v>32</v>
      </c>
      <c r="C33" s="296">
        <v>0</v>
      </c>
      <c r="D33" s="296">
        <v>0</v>
      </c>
      <c r="E33" s="296">
        <v>0</v>
      </c>
      <c r="F33" s="296">
        <v>0</v>
      </c>
      <c r="G33" s="296">
        <v>0</v>
      </c>
      <c r="H33" s="296">
        <v>0</v>
      </c>
      <c r="I33" s="296">
        <v>0</v>
      </c>
      <c r="J33" s="295">
        <v>0</v>
      </c>
      <c r="K33" s="295">
        <v>0</v>
      </c>
      <c r="L33" s="295">
        <v>0</v>
      </c>
    </row>
    <row r="34" spans="1:12" x14ac:dyDescent="0.25">
      <c r="A34" s="244" t="s">
        <v>192</v>
      </c>
      <c r="B34" s="227">
        <v>33</v>
      </c>
      <c r="C34" s="296">
        <v>13</v>
      </c>
      <c r="D34" s="296">
        <v>22</v>
      </c>
      <c r="E34" s="296">
        <v>0</v>
      </c>
      <c r="F34" s="296">
        <v>0</v>
      </c>
      <c r="G34" s="296">
        <v>0</v>
      </c>
      <c r="H34" s="296">
        <v>0</v>
      </c>
      <c r="I34" s="296">
        <v>0</v>
      </c>
      <c r="J34" s="295">
        <v>0</v>
      </c>
      <c r="K34" s="295">
        <v>0</v>
      </c>
      <c r="L34" s="295">
        <v>0</v>
      </c>
    </row>
    <row r="35" spans="1:12" x14ac:dyDescent="0.25">
      <c r="A35" s="244" t="s">
        <v>97</v>
      </c>
      <c r="B35" s="227">
        <v>34</v>
      </c>
      <c r="C35" s="296">
        <v>14</v>
      </c>
      <c r="D35" s="296">
        <v>13</v>
      </c>
      <c r="E35" s="296">
        <v>22</v>
      </c>
      <c r="F35" s="296">
        <v>0</v>
      </c>
      <c r="G35" s="296">
        <v>0</v>
      </c>
      <c r="H35" s="296">
        <v>0</v>
      </c>
      <c r="I35" s="296">
        <v>0</v>
      </c>
      <c r="J35" s="295">
        <v>0</v>
      </c>
      <c r="K35" s="295">
        <v>0</v>
      </c>
      <c r="L35" s="295">
        <v>0</v>
      </c>
    </row>
    <row r="36" spans="1:12" x14ac:dyDescent="0.25">
      <c r="A36" s="245" t="s">
        <v>77</v>
      </c>
      <c r="B36" s="227">
        <v>35</v>
      </c>
      <c r="C36" s="296">
        <v>29</v>
      </c>
      <c r="D36" s="296">
        <v>28</v>
      </c>
      <c r="E36" s="296">
        <v>27</v>
      </c>
      <c r="F36" s="296">
        <v>31</v>
      </c>
      <c r="G36" s="296">
        <v>0</v>
      </c>
      <c r="H36" s="296">
        <v>0</v>
      </c>
      <c r="I36" s="296">
        <v>0</v>
      </c>
      <c r="J36" s="295">
        <v>0</v>
      </c>
      <c r="K36" s="295">
        <v>0</v>
      </c>
      <c r="L36" s="295">
        <v>0</v>
      </c>
    </row>
    <row r="37" spans="1:12" x14ac:dyDescent="0.25">
      <c r="A37" s="245" t="s">
        <v>272</v>
      </c>
      <c r="B37" s="227">
        <v>36</v>
      </c>
      <c r="C37" s="296">
        <v>0</v>
      </c>
      <c r="D37" s="296">
        <v>0</v>
      </c>
      <c r="E37" s="296">
        <v>0</v>
      </c>
      <c r="F37" s="296">
        <v>0</v>
      </c>
      <c r="G37" s="296">
        <v>0</v>
      </c>
      <c r="H37" s="296">
        <v>0</v>
      </c>
      <c r="I37" s="296">
        <v>0</v>
      </c>
      <c r="J37" s="295">
        <v>0</v>
      </c>
      <c r="K37" s="295">
        <v>0</v>
      </c>
      <c r="L37" s="295">
        <v>0</v>
      </c>
    </row>
    <row r="38" spans="1:12" x14ac:dyDescent="0.25">
      <c r="A38" s="245" t="s">
        <v>272</v>
      </c>
      <c r="B38" s="227">
        <v>37</v>
      </c>
      <c r="C38" s="296">
        <v>0</v>
      </c>
      <c r="D38" s="296">
        <v>0</v>
      </c>
      <c r="E38" s="296">
        <v>0</v>
      </c>
      <c r="F38" s="296">
        <v>0</v>
      </c>
      <c r="G38" s="296">
        <v>0</v>
      </c>
      <c r="H38" s="296">
        <v>0</v>
      </c>
      <c r="I38" s="296">
        <v>0</v>
      </c>
      <c r="J38" s="295">
        <v>0</v>
      </c>
      <c r="K38" s="295">
        <v>0</v>
      </c>
      <c r="L38" s="295">
        <v>0</v>
      </c>
    </row>
    <row r="39" spans="1:12" x14ac:dyDescent="0.25">
      <c r="A39" s="244" t="s">
        <v>193</v>
      </c>
      <c r="B39" s="227">
        <v>38</v>
      </c>
      <c r="C39" s="296">
        <v>22</v>
      </c>
      <c r="D39" s="296">
        <v>31</v>
      </c>
      <c r="E39" s="296">
        <v>13</v>
      </c>
      <c r="F39" s="296">
        <v>34</v>
      </c>
      <c r="G39" s="296">
        <v>27</v>
      </c>
      <c r="H39" s="296">
        <v>28</v>
      </c>
      <c r="I39" s="296">
        <v>33</v>
      </c>
      <c r="J39" s="295">
        <v>0</v>
      </c>
      <c r="K39" s="295">
        <v>0</v>
      </c>
      <c r="L39" s="295">
        <v>0</v>
      </c>
    </row>
    <row r="40" spans="1:12" x14ac:dyDescent="0.25">
      <c r="A40" s="244" t="s">
        <v>48</v>
      </c>
      <c r="B40" s="227">
        <v>39</v>
      </c>
      <c r="C40" s="296">
        <v>0</v>
      </c>
      <c r="D40" s="296">
        <v>0</v>
      </c>
      <c r="E40" s="296">
        <v>0</v>
      </c>
      <c r="F40" s="296">
        <v>0</v>
      </c>
      <c r="G40" s="296">
        <v>0</v>
      </c>
      <c r="H40" s="296">
        <v>0</v>
      </c>
      <c r="I40" s="296">
        <v>0</v>
      </c>
      <c r="J40" s="295">
        <v>0</v>
      </c>
      <c r="K40" s="295">
        <v>0</v>
      </c>
      <c r="L40" s="295">
        <v>0</v>
      </c>
    </row>
    <row r="41" spans="1:12" x14ac:dyDescent="0.25">
      <c r="A41" s="227" t="s">
        <v>271</v>
      </c>
      <c r="B41" s="227">
        <f>B40+1</f>
        <v>40</v>
      </c>
      <c r="C41" s="296">
        <v>0</v>
      </c>
      <c r="D41" s="296">
        <v>0</v>
      </c>
      <c r="E41" s="296">
        <v>0</v>
      </c>
      <c r="F41" s="296">
        <v>0</v>
      </c>
      <c r="G41" s="296">
        <v>0</v>
      </c>
      <c r="H41" s="296">
        <v>0</v>
      </c>
      <c r="I41" s="296">
        <v>0</v>
      </c>
      <c r="J41" s="295">
        <v>0</v>
      </c>
      <c r="K41" s="295">
        <v>0</v>
      </c>
      <c r="L41" s="295">
        <v>0</v>
      </c>
    </row>
    <row r="42" spans="1:12" x14ac:dyDescent="0.25">
      <c r="A42" s="227" t="s">
        <v>273</v>
      </c>
      <c r="B42" s="227">
        <f t="shared" ref="B42:B56" si="0">B41+1</f>
        <v>41</v>
      </c>
      <c r="C42" s="296">
        <v>0</v>
      </c>
      <c r="D42" s="296">
        <v>0</v>
      </c>
      <c r="E42" s="296">
        <v>0</v>
      </c>
      <c r="F42" s="296">
        <v>0</v>
      </c>
      <c r="G42" s="296">
        <v>0</v>
      </c>
      <c r="H42" s="296">
        <v>0</v>
      </c>
      <c r="I42" s="296">
        <v>0</v>
      </c>
      <c r="J42" s="295">
        <v>0</v>
      </c>
      <c r="K42" s="295">
        <v>0</v>
      </c>
      <c r="L42" s="295">
        <v>0</v>
      </c>
    </row>
    <row r="43" spans="1:12" x14ac:dyDescent="0.25">
      <c r="A43" s="227" t="s">
        <v>273</v>
      </c>
      <c r="B43" s="227">
        <f t="shared" si="0"/>
        <v>42</v>
      </c>
      <c r="C43" s="296">
        <v>0</v>
      </c>
      <c r="D43" s="296">
        <v>0</v>
      </c>
      <c r="E43" s="296">
        <v>0</v>
      </c>
      <c r="F43" s="296">
        <v>0</v>
      </c>
      <c r="G43" s="296">
        <v>0</v>
      </c>
      <c r="H43" s="296">
        <v>0</v>
      </c>
      <c r="I43" s="296">
        <v>0</v>
      </c>
      <c r="J43" s="295">
        <v>0</v>
      </c>
      <c r="K43" s="295">
        <v>0</v>
      </c>
      <c r="L43" s="295">
        <v>0</v>
      </c>
    </row>
    <row r="44" spans="1:12" x14ac:dyDescent="0.25">
      <c r="A44" s="227" t="s">
        <v>273</v>
      </c>
      <c r="B44" s="227">
        <f t="shared" si="0"/>
        <v>43</v>
      </c>
      <c r="C44" s="296">
        <v>0</v>
      </c>
      <c r="D44" s="296">
        <v>0</v>
      </c>
      <c r="E44" s="296">
        <v>0</v>
      </c>
      <c r="F44" s="296">
        <v>0</v>
      </c>
      <c r="G44" s="296">
        <v>0</v>
      </c>
      <c r="H44" s="296">
        <v>0</v>
      </c>
      <c r="I44" s="296">
        <v>0</v>
      </c>
      <c r="J44" s="295">
        <v>0</v>
      </c>
      <c r="K44" s="295">
        <v>0</v>
      </c>
      <c r="L44" s="295">
        <v>0</v>
      </c>
    </row>
    <row r="45" spans="1:12" x14ac:dyDescent="0.25">
      <c r="A45" s="227" t="s">
        <v>32</v>
      </c>
      <c r="B45" s="227">
        <f t="shared" si="0"/>
        <v>44</v>
      </c>
      <c r="C45" s="296">
        <v>0</v>
      </c>
      <c r="D45" s="296">
        <v>0</v>
      </c>
      <c r="E45" s="296">
        <v>0</v>
      </c>
      <c r="F45" s="296">
        <v>0</v>
      </c>
      <c r="G45" s="296">
        <v>0</v>
      </c>
      <c r="H45" s="296">
        <v>0</v>
      </c>
      <c r="I45" s="296">
        <v>0</v>
      </c>
      <c r="J45" s="295">
        <v>0</v>
      </c>
      <c r="K45" s="295">
        <v>0</v>
      </c>
      <c r="L45" s="295">
        <v>0</v>
      </c>
    </row>
    <row r="46" spans="1:12" x14ac:dyDescent="0.25">
      <c r="A46" s="227" t="s">
        <v>3</v>
      </c>
      <c r="B46" s="227">
        <f t="shared" si="0"/>
        <v>45</v>
      </c>
      <c r="C46" s="296">
        <v>0</v>
      </c>
      <c r="D46" s="296">
        <v>0</v>
      </c>
      <c r="E46" s="296">
        <v>0</v>
      </c>
      <c r="F46" s="296">
        <v>0</v>
      </c>
      <c r="G46" s="296">
        <v>0</v>
      </c>
      <c r="H46" s="296">
        <v>0</v>
      </c>
      <c r="I46" s="296">
        <v>0</v>
      </c>
      <c r="J46" s="295">
        <v>0</v>
      </c>
      <c r="K46" s="295">
        <v>0</v>
      </c>
      <c r="L46" s="295">
        <v>0</v>
      </c>
    </row>
    <row r="47" spans="1:12" x14ac:dyDescent="0.25">
      <c r="A47" s="227" t="s">
        <v>274</v>
      </c>
      <c r="B47" s="227">
        <f t="shared" si="0"/>
        <v>46</v>
      </c>
      <c r="C47" s="296">
        <v>0</v>
      </c>
      <c r="D47" s="296">
        <v>0</v>
      </c>
      <c r="E47" s="296">
        <v>0</v>
      </c>
      <c r="F47" s="296">
        <v>0</v>
      </c>
      <c r="G47" s="296">
        <v>0</v>
      </c>
      <c r="H47" s="296">
        <v>0</v>
      </c>
      <c r="I47" s="296">
        <v>0</v>
      </c>
      <c r="J47" s="295">
        <v>0</v>
      </c>
      <c r="K47" s="295">
        <v>0</v>
      </c>
      <c r="L47" s="295">
        <v>0</v>
      </c>
    </row>
    <row r="48" spans="1:12" x14ac:dyDescent="0.25">
      <c r="A48" s="227" t="s">
        <v>274</v>
      </c>
      <c r="B48" s="227">
        <f t="shared" si="0"/>
        <v>47</v>
      </c>
      <c r="C48" s="296">
        <v>0</v>
      </c>
      <c r="D48" s="296">
        <v>0</v>
      </c>
      <c r="E48" s="296">
        <v>0</v>
      </c>
      <c r="F48" s="296">
        <v>0</v>
      </c>
      <c r="G48" s="296">
        <v>0</v>
      </c>
      <c r="H48" s="296">
        <v>0</v>
      </c>
      <c r="I48" s="296">
        <v>0</v>
      </c>
      <c r="J48" s="295">
        <v>0</v>
      </c>
      <c r="K48" s="295">
        <v>0</v>
      </c>
      <c r="L48" s="295">
        <v>0</v>
      </c>
    </row>
    <row r="49" spans="1:12" x14ac:dyDescent="0.25">
      <c r="A49" s="227" t="s">
        <v>274</v>
      </c>
      <c r="B49" s="227">
        <f t="shared" si="0"/>
        <v>48</v>
      </c>
      <c r="C49" s="296">
        <v>0</v>
      </c>
      <c r="D49" s="296">
        <v>0</v>
      </c>
      <c r="E49" s="296">
        <v>0</v>
      </c>
      <c r="F49" s="296">
        <v>0</v>
      </c>
      <c r="G49" s="296">
        <v>0</v>
      </c>
      <c r="H49" s="296">
        <v>0</v>
      </c>
      <c r="I49" s="296">
        <v>0</v>
      </c>
      <c r="J49" s="295">
        <v>0</v>
      </c>
      <c r="K49" s="295">
        <v>0</v>
      </c>
      <c r="L49" s="295">
        <v>0</v>
      </c>
    </row>
    <row r="50" spans="1:12" x14ac:dyDescent="0.25">
      <c r="A50" s="227" t="s">
        <v>274</v>
      </c>
      <c r="B50" s="227">
        <f t="shared" si="0"/>
        <v>49</v>
      </c>
      <c r="C50" s="296">
        <v>0</v>
      </c>
      <c r="D50" s="296">
        <v>0</v>
      </c>
      <c r="E50" s="296">
        <v>0</v>
      </c>
      <c r="F50" s="296">
        <v>0</v>
      </c>
      <c r="G50" s="296">
        <v>0</v>
      </c>
      <c r="H50" s="296">
        <v>0</v>
      </c>
      <c r="I50" s="296">
        <v>0</v>
      </c>
      <c r="J50" s="295">
        <v>0</v>
      </c>
      <c r="K50" s="295">
        <v>0</v>
      </c>
      <c r="L50" s="295">
        <v>0</v>
      </c>
    </row>
    <row r="51" spans="1:12" x14ac:dyDescent="0.25">
      <c r="A51" s="227" t="s">
        <v>274</v>
      </c>
      <c r="B51" s="227">
        <f t="shared" si="0"/>
        <v>50</v>
      </c>
      <c r="C51" s="296">
        <v>0</v>
      </c>
      <c r="D51" s="296">
        <v>0</v>
      </c>
      <c r="E51" s="296">
        <v>0</v>
      </c>
      <c r="F51" s="296">
        <v>0</v>
      </c>
      <c r="G51" s="296">
        <v>0</v>
      </c>
      <c r="H51" s="296">
        <v>0</v>
      </c>
      <c r="I51" s="296">
        <v>0</v>
      </c>
      <c r="J51" s="295">
        <v>0</v>
      </c>
      <c r="K51" s="295">
        <v>0</v>
      </c>
      <c r="L51" s="295">
        <v>0</v>
      </c>
    </row>
    <row r="52" spans="1:12" x14ac:dyDescent="0.25">
      <c r="A52" s="227" t="s">
        <v>274</v>
      </c>
      <c r="B52" s="227">
        <f t="shared" si="0"/>
        <v>51</v>
      </c>
      <c r="C52" s="296">
        <v>0</v>
      </c>
      <c r="D52" s="296">
        <v>0</v>
      </c>
      <c r="E52" s="296">
        <v>0</v>
      </c>
      <c r="F52" s="296">
        <v>0</v>
      </c>
      <c r="G52" s="296">
        <v>0</v>
      </c>
      <c r="H52" s="296">
        <v>0</v>
      </c>
      <c r="I52" s="296">
        <v>0</v>
      </c>
      <c r="J52" s="295">
        <v>0</v>
      </c>
      <c r="K52" s="295">
        <v>0</v>
      </c>
      <c r="L52" s="295">
        <v>0</v>
      </c>
    </row>
    <row r="53" spans="1:12" x14ac:dyDescent="0.25">
      <c r="A53" s="227" t="s">
        <v>274</v>
      </c>
      <c r="B53" s="227">
        <f t="shared" si="0"/>
        <v>52</v>
      </c>
      <c r="C53" s="296">
        <v>0</v>
      </c>
      <c r="D53" s="296">
        <v>0</v>
      </c>
      <c r="E53" s="296">
        <v>0</v>
      </c>
      <c r="F53" s="296">
        <v>0</v>
      </c>
      <c r="G53" s="296">
        <v>0</v>
      </c>
      <c r="H53" s="296">
        <v>0</v>
      </c>
      <c r="I53" s="296">
        <v>0</v>
      </c>
      <c r="J53" s="295">
        <v>0</v>
      </c>
      <c r="K53" s="295">
        <v>0</v>
      </c>
      <c r="L53" s="295">
        <v>0</v>
      </c>
    </row>
    <row r="54" spans="1:12" x14ac:dyDescent="0.25">
      <c r="A54" s="227" t="s">
        <v>274</v>
      </c>
      <c r="B54" s="227">
        <f t="shared" si="0"/>
        <v>53</v>
      </c>
      <c r="C54" s="296">
        <v>0</v>
      </c>
      <c r="D54" s="296">
        <v>0</v>
      </c>
      <c r="E54" s="296">
        <v>0</v>
      </c>
      <c r="F54" s="296">
        <v>0</v>
      </c>
      <c r="G54" s="296">
        <v>0</v>
      </c>
      <c r="H54" s="296">
        <v>0</v>
      </c>
      <c r="I54" s="296">
        <v>0</v>
      </c>
      <c r="J54" s="295">
        <v>0</v>
      </c>
      <c r="K54" s="295">
        <v>0</v>
      </c>
      <c r="L54" s="295">
        <v>0</v>
      </c>
    </row>
    <row r="55" spans="1:12" x14ac:dyDescent="0.25">
      <c r="A55" s="227" t="s">
        <v>274</v>
      </c>
      <c r="B55" s="227">
        <f t="shared" si="0"/>
        <v>54</v>
      </c>
      <c r="C55" s="296">
        <v>0</v>
      </c>
      <c r="D55" s="296">
        <v>0</v>
      </c>
      <c r="E55" s="296">
        <v>0</v>
      </c>
      <c r="F55" s="296">
        <v>0</v>
      </c>
      <c r="G55" s="296">
        <v>0</v>
      </c>
      <c r="H55" s="296">
        <v>0</v>
      </c>
      <c r="I55" s="296">
        <v>0</v>
      </c>
      <c r="J55" s="295">
        <v>0</v>
      </c>
      <c r="K55" s="295">
        <v>0</v>
      </c>
      <c r="L55" s="295">
        <v>0</v>
      </c>
    </row>
    <row r="56" spans="1:12" x14ac:dyDescent="0.25">
      <c r="A56" s="227" t="s">
        <v>274</v>
      </c>
      <c r="B56" s="227">
        <f t="shared" si="0"/>
        <v>55</v>
      </c>
      <c r="C56" s="296">
        <v>0</v>
      </c>
      <c r="D56" s="296">
        <v>0</v>
      </c>
      <c r="E56" s="296">
        <v>0</v>
      </c>
      <c r="F56" s="296">
        <v>0</v>
      </c>
      <c r="G56" s="296">
        <v>0</v>
      </c>
      <c r="H56" s="296">
        <v>0</v>
      </c>
      <c r="I56" s="296">
        <v>0</v>
      </c>
      <c r="J56" s="295">
        <v>0</v>
      </c>
      <c r="K56" s="295">
        <v>0</v>
      </c>
      <c r="L56" s="295">
        <v>0</v>
      </c>
    </row>
    <row r="57" spans="1:12" x14ac:dyDescent="0.25">
      <c r="A57" s="227" t="s">
        <v>274</v>
      </c>
      <c r="B57" s="227">
        <f t="shared" ref="B57" si="1">B56+1</f>
        <v>56</v>
      </c>
      <c r="C57" s="296">
        <v>0</v>
      </c>
      <c r="D57" s="296">
        <v>0</v>
      </c>
      <c r="E57" s="296">
        <v>0</v>
      </c>
      <c r="F57" s="296">
        <v>0</v>
      </c>
      <c r="G57" s="296">
        <v>0</v>
      </c>
      <c r="H57" s="296">
        <v>0</v>
      </c>
      <c r="I57" s="296">
        <v>0</v>
      </c>
      <c r="J57" s="295">
        <v>0</v>
      </c>
      <c r="K57" s="295">
        <v>0</v>
      </c>
      <c r="L57" s="295">
        <v>0</v>
      </c>
    </row>
    <row r="58" spans="1:12" x14ac:dyDescent="0.25">
      <c r="C58" s="296"/>
      <c r="D58" s="296"/>
      <c r="E58" s="296"/>
      <c r="F58" s="296"/>
      <c r="G58" s="296"/>
      <c r="H58" s="296"/>
      <c r="I58" s="296"/>
      <c r="J58" s="295"/>
      <c r="K58" s="295"/>
      <c r="L58" s="295"/>
    </row>
    <row r="59" spans="1:12" x14ac:dyDescent="0.25">
      <c r="C59" s="296"/>
      <c r="D59" s="296"/>
      <c r="E59" s="296"/>
      <c r="F59" s="296"/>
      <c r="G59" s="296"/>
      <c r="H59" s="296"/>
      <c r="I59" s="296"/>
      <c r="J59" s="295"/>
      <c r="K59" s="295"/>
      <c r="L59" s="295"/>
    </row>
    <row r="60" spans="1:12" x14ac:dyDescent="0.25">
      <c r="C60" s="296"/>
      <c r="D60" s="296"/>
      <c r="E60" s="296"/>
      <c r="F60" s="296"/>
      <c r="G60" s="296"/>
      <c r="H60" s="296"/>
      <c r="I60" s="296"/>
      <c r="J60" s="295"/>
      <c r="K60" s="295"/>
      <c r="L60" s="295"/>
    </row>
    <row r="61" spans="1:12" x14ac:dyDescent="0.25">
      <c r="C61" s="296"/>
      <c r="D61" s="296"/>
      <c r="E61" s="296"/>
      <c r="F61" s="296"/>
      <c r="G61" s="296"/>
      <c r="H61" s="296"/>
      <c r="I61" s="296"/>
      <c r="J61" s="295"/>
      <c r="K61" s="295"/>
      <c r="L61" s="295"/>
    </row>
    <row r="62" spans="1:12" x14ac:dyDescent="0.25">
      <c r="C62" s="296"/>
      <c r="D62" s="296"/>
      <c r="E62" s="296"/>
      <c r="F62" s="296"/>
      <c r="G62" s="296"/>
      <c r="H62" s="296"/>
      <c r="I62" s="296"/>
      <c r="J62" s="295"/>
      <c r="K62" s="295"/>
      <c r="L62" s="295"/>
    </row>
    <row r="63" spans="1:12" x14ac:dyDescent="0.25">
      <c r="C63" s="296"/>
      <c r="D63" s="296"/>
      <c r="E63" s="296"/>
      <c r="F63" s="296"/>
      <c r="G63" s="296"/>
      <c r="H63" s="296"/>
      <c r="I63" s="296"/>
      <c r="J63" s="295"/>
      <c r="K63" s="295"/>
      <c r="L63" s="295"/>
    </row>
    <row r="64" spans="1:12" x14ac:dyDescent="0.25">
      <c r="C64" s="296"/>
      <c r="D64" s="296"/>
      <c r="E64" s="296"/>
      <c r="F64" s="296"/>
      <c r="G64" s="296"/>
      <c r="H64" s="296"/>
      <c r="I64" s="296"/>
      <c r="J64" s="295"/>
      <c r="K64" s="295"/>
      <c r="L64" s="295"/>
    </row>
    <row r="65" spans="3:12" x14ac:dyDescent="0.25">
      <c r="C65" s="296"/>
      <c r="D65" s="296"/>
      <c r="E65" s="296"/>
      <c r="F65" s="296"/>
      <c r="G65" s="296"/>
      <c r="H65" s="296"/>
      <c r="I65" s="296"/>
      <c r="J65" s="295"/>
      <c r="K65" s="295"/>
      <c r="L65" s="295"/>
    </row>
    <row r="66" spans="3:12" x14ac:dyDescent="0.25">
      <c r="C66" s="296"/>
      <c r="D66" s="296"/>
      <c r="E66" s="296"/>
      <c r="F66" s="296"/>
      <c r="G66" s="296"/>
      <c r="H66" s="296"/>
      <c r="I66" s="296"/>
      <c r="J66" s="295"/>
      <c r="K66" s="295"/>
      <c r="L66" s="295"/>
    </row>
    <row r="67" spans="3:12" x14ac:dyDescent="0.25">
      <c r="C67" s="296"/>
      <c r="D67" s="296"/>
      <c r="E67" s="296"/>
      <c r="F67" s="296"/>
      <c r="G67" s="296"/>
      <c r="H67" s="296"/>
      <c r="I67" s="296"/>
      <c r="J67" s="295"/>
      <c r="K67" s="295"/>
      <c r="L67" s="295"/>
    </row>
    <row r="68" spans="3:12" x14ac:dyDescent="0.25">
      <c r="C68" s="296"/>
      <c r="D68" s="296"/>
      <c r="E68" s="296"/>
      <c r="F68" s="296"/>
      <c r="G68" s="296"/>
      <c r="H68" s="296"/>
      <c r="I68" s="296"/>
      <c r="J68" s="295"/>
      <c r="K68" s="295"/>
      <c r="L68" s="295"/>
    </row>
    <row r="69" spans="3:12" x14ac:dyDescent="0.25">
      <c r="C69" s="296"/>
      <c r="D69" s="296"/>
      <c r="E69" s="296"/>
      <c r="F69" s="296"/>
      <c r="G69" s="296"/>
      <c r="H69" s="296"/>
      <c r="I69" s="296"/>
      <c r="J69" s="295"/>
      <c r="K69" s="295"/>
      <c r="L69" s="295"/>
    </row>
    <row r="70" spans="3:12" x14ac:dyDescent="0.25">
      <c r="C70" s="296"/>
      <c r="D70" s="296"/>
      <c r="E70" s="296"/>
      <c r="F70" s="296"/>
      <c r="G70" s="296"/>
      <c r="H70" s="296"/>
      <c r="I70" s="296"/>
      <c r="J70" s="295"/>
      <c r="K70" s="295"/>
      <c r="L70" s="295"/>
    </row>
  </sheetData>
  <autoFilter ref="A1:L1" xr:uid="{51A89608-F967-430E-A937-9B1D3BA614F2}">
    <sortState xmlns:xlrd2="http://schemas.microsoft.com/office/spreadsheetml/2017/richdata2" ref="A2:L40">
      <sortCondition ref="B1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BFA1E85810AF74B8338E6A782B26A9E" ma:contentTypeVersion="12" ma:contentTypeDescription="Create a new document." ma:contentTypeScope="" ma:versionID="313d3044525e8a19bb0d492052d9e983">
  <xsd:schema xmlns:xsd="http://www.w3.org/2001/XMLSchema" xmlns:xs="http://www.w3.org/2001/XMLSchema" xmlns:p="http://schemas.microsoft.com/office/2006/metadata/properties" xmlns:ns3="7807dc67-76f2-416b-833d-f065fed00cc1" xmlns:ns4="64994765-5a37-451c-9a63-7c6f7b39454e" targetNamespace="http://schemas.microsoft.com/office/2006/metadata/properties" ma:root="true" ma:fieldsID="c05fb117b4793736e239a22947fa0044" ns3:_="" ns4:_="">
    <xsd:import namespace="7807dc67-76f2-416b-833d-f065fed00cc1"/>
    <xsd:import namespace="64994765-5a37-451c-9a63-7c6f7b39454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07dc67-76f2-416b-833d-f065fed00cc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994765-5a37-451c-9a63-7c6f7b3945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70F36A6-3D0C-4B9D-A837-0D3712C53D7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3CC9093-1198-4C2B-BA56-5CCAB55479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07dc67-76f2-416b-833d-f065fed00cc1"/>
    <ds:schemaRef ds:uri="64994765-5a37-451c-9a63-7c6f7b3945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424EEAC-A576-4630-99F2-9018D6C2832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ProgramOfStudy</vt:lpstr>
      <vt:lpstr>Temp</vt:lpstr>
      <vt:lpstr>Temp2</vt:lpstr>
      <vt:lpstr>ProgramOfStudy!Print_Area</vt:lpstr>
    </vt:vector>
  </TitlesOfParts>
  <Company>Georgia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klewis</dc:creator>
  <cp:lastModifiedBy>Kristi Lewis</cp:lastModifiedBy>
  <cp:lastPrinted>2020-05-21T15:56:20Z</cp:lastPrinted>
  <dcterms:created xsi:type="dcterms:W3CDTF">2006-05-31T13:58:14Z</dcterms:created>
  <dcterms:modified xsi:type="dcterms:W3CDTF">2020-05-22T13:00:49Z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0x010100DBFA1E85810AF74B8338E6A782B26A9E</vt:lpwstr>
  </property>
</Properties>
</file>